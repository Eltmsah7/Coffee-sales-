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hidePivotFieldList="1"/>
  <mc:AlternateContent xmlns:mc="http://schemas.openxmlformats.org/markup-compatibility/2006">
    <mc:Choice Requires="x15">
      <x15ac:absPath xmlns:x15ac="http://schemas.microsoft.com/office/spreadsheetml/2010/11/ac" url="C:\Users\ENG_ELTMSAH\Downloads\Data Analysis files\PROJECTS\Excel\cafe project\"/>
    </mc:Choice>
  </mc:AlternateContent>
  <xr:revisionPtr revIDLastSave="0" documentId="13_ncr:1_{60A5285F-7C1C-4B45-840D-EED48B8F7279}" xr6:coauthVersionLast="47" xr6:coauthVersionMax="47" xr10:uidLastSave="{00000000-0000-0000-0000-000000000000}"/>
  <bookViews>
    <workbookView xWindow="-108" yWindow="-108" windowWidth="23256" windowHeight="13176" activeTab="1" xr2:uid="{00000000-000D-0000-FFFF-FFFF00000000}"/>
  </bookViews>
  <sheets>
    <sheet name="Pivot Tables " sheetId="1" r:id="rId1"/>
    <sheet name="Dashboard" sheetId="2" r:id="rId2"/>
  </sheets>
  <definedNames>
    <definedName name="_xlchart.v1.0" hidden="1">'Pivot Tables '!$M$24:$M$30</definedName>
    <definedName name="_xlchart.v1.1" hidden="1">'Pivot Tables '!$N$24:$N$30</definedName>
    <definedName name="_xlchart.v1.2" hidden="1">'Pivot Tables '!$M$24:$M$30</definedName>
    <definedName name="_xlchart.v1.3" hidden="1">'Pivot Tables '!$N$24:$N$30</definedName>
    <definedName name="Slicer_coffee_name">#N/A</definedName>
    <definedName name="Slicer_Day_Name">#N/A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dex_cc04350b-09f6-41b5-82c8-ef5127812c23" name="index" connection="Query - index"/>
        </x15:modelTables>
        <x15:extLst>
          <ext xmlns:x16="http://schemas.microsoft.com/office/spreadsheetml/2014/11/main" uri="{9835A34E-60A6-4A7C-AAB8-D5F71C897F49}">
            <x16:modelTimeGroupings>
              <x16:modelTimeGrouping tableName="index"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880EC8-8C85-4AC5-87BD-35B155E908CB}" name="Query - index" description="Connection to the 'index' query in the workbook." type="100" refreshedVersion="8" minRefreshableVersion="5">
    <extLst>
      <ext xmlns:x15="http://schemas.microsoft.com/office/spreadsheetml/2010/11/main" uri="{DE250136-89BD-433C-8126-D09CA5730AF9}">
        <x15:connection id="40c43b92-a4ba-441a-a3df-4141f3488c36"/>
      </ext>
    </extLst>
  </connection>
  <connection id="2" xr16:uid="{EFEF928B-01A7-475E-83F5-22A8410067C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<sst xmlns="http://schemas.openxmlformats.org/spreadsheetml/2006/main" count="52" uniqueCount="39">
  <si>
    <t xml:space="preserve">1. Total Orders </t>
  </si>
  <si>
    <t>Orders</t>
  </si>
  <si>
    <t xml:space="preserve">2. Total Sales </t>
  </si>
  <si>
    <t>Card</t>
  </si>
  <si>
    <t>Americano With Milk</t>
  </si>
  <si>
    <t>Latte</t>
  </si>
  <si>
    <t>Cappuccino</t>
  </si>
  <si>
    <t>Hot Chocolate</t>
  </si>
  <si>
    <t>Cocoa</t>
  </si>
  <si>
    <t>Americano</t>
  </si>
  <si>
    <t>Cortado</t>
  </si>
  <si>
    <t>Espresso</t>
  </si>
  <si>
    <t>Total Sales</t>
  </si>
  <si>
    <t xml:space="preserve">3. number of items </t>
  </si>
  <si>
    <t>items</t>
  </si>
  <si>
    <t>4. most popular coffee</t>
  </si>
  <si>
    <t>Row Labels</t>
  </si>
  <si>
    <t>Grand Total</t>
  </si>
  <si>
    <t>5. orders per month</t>
  </si>
  <si>
    <t>Mar</t>
  </si>
  <si>
    <t>Apr</t>
  </si>
  <si>
    <t>May</t>
  </si>
  <si>
    <t>Jun</t>
  </si>
  <si>
    <t>Jul</t>
  </si>
  <si>
    <t>Aug</t>
  </si>
  <si>
    <t>Friday</t>
  </si>
  <si>
    <t>Monday</t>
  </si>
  <si>
    <t>Saturday</t>
  </si>
  <si>
    <t>Sunday</t>
  </si>
  <si>
    <t>Thursday</t>
  </si>
  <si>
    <t>Tuesday</t>
  </si>
  <si>
    <t>Wednesday</t>
  </si>
  <si>
    <t xml:space="preserve">7.orders by days </t>
  </si>
  <si>
    <t xml:space="preserve">8. payment type </t>
  </si>
  <si>
    <t>Cash</t>
  </si>
  <si>
    <t>Afternoon</t>
  </si>
  <si>
    <t>Evening</t>
  </si>
  <si>
    <t>Morning</t>
  </si>
  <si>
    <t>9.orders by shift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</si>
</sst>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3">
    <fill>
      <patternFill patternType="none"/>
    </fill>
    <fill>
      <patternFill patternType="gray125"/>
    </fill>
    <fill>
      <patternFill patternType="solid">
        <fgColor rgb="FF7F5539"/>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colors>
    <mruColors>
      <color rgb="FF7F5539"/>
      <color rgb="FFE6CC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8.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 !PivotTable5</c:name>
    <c:fmtId val="0"/>
  </c:pivotSource>
  <c:chart>
    <c:title>
      <c:tx>
        <c:rich>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r>
              <a:rPr lang="en-US" sz="1800" b="1"/>
              <a:t>Orders</a:t>
            </a:r>
            <a:r>
              <a:rPr lang="en-US" sz="1800" b="1" baseline="0"/>
              <a:t> BY Product</a:t>
            </a:r>
          </a:p>
        </c:rich>
      </c:tx>
      <c:overlay val="0"/>
      <c:spPr>
        <a:noFill/>
        <a:ln>
          <a:noFill/>
        </a:ln>
        <a:effectLst/>
      </c:spPr>
      <c:txPr>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'!$A$16:$A$24</c:f>
              <c:strCache>
                <c:ptCount val="8"/>
                <c:pt idx="0">
                  <c:v>Americano With Milk</c:v>
                </c:pt>
                <c:pt idx="1">
                  <c:v>Latte</c:v>
                </c:pt>
                <c:pt idx="2">
                  <c:v>Cappuccino</c:v>
                </c:pt>
                <c:pt idx="3">
                  <c:v>Americano</c:v>
                </c:pt>
                <c:pt idx="4">
                  <c:v>Cortado</c:v>
                </c:pt>
                <c:pt idx="5">
                  <c:v>Hot Chocolate</c:v>
                </c:pt>
                <c:pt idx="6">
                  <c:v>Espresso</c:v>
                </c:pt>
                <c:pt idx="7">
                  <c:v>Cocoa</c:v>
                </c:pt>
              </c:strCache>
            </c:strRef>
          </c:cat>
          <c:val>
            <c:numRef>
              <c:f>'Pivot Tables '!$B$16:$B$24</c:f>
              <c:numCache>
                <c:formatCode>General</c:formatCode>
                <c:ptCount val="8"/>
                <c:pt idx="0">
                  <c:v>319</c:v>
                </c:pt>
                <c:pt idx="1">
                  <c:v>282</c:v>
                </c:pt>
                <c:pt idx="2">
                  <c:v>222</c:v>
                </c:pt>
                <c:pt idx="3">
                  <c:v>185</c:v>
                </c:pt>
                <c:pt idx="4">
                  <c:v>123</c:v>
                </c:pt>
                <c:pt idx="5">
                  <c:v>79</c:v>
                </c:pt>
                <c:pt idx="6">
                  <c:v>59</c:v>
                </c:pt>
                <c:pt idx="7">
                  <c:v>44</c:v>
                </c:pt>
              </c:numCache>
            </c:numRef>
          </c:val>
          <c:extLst>
            <c:ext xmlns:c16="http://schemas.microsoft.com/office/drawing/2014/chart" uri="{C3380CC4-5D6E-409C-BE32-E72D297353CC}">
              <c16:uniqueId val="{00000000-CA4E-40C0-A1B9-10226D3CBB9F}"/>
            </c:ext>
          </c:extLst>
        </c:ser>
        <c:dLbls>
          <c:dLblPos val="inEnd"/>
          <c:showLegendKey val="0"/>
          <c:showVal val="1"/>
          <c:showCatName val="0"/>
          <c:showSerName val="0"/>
          <c:showPercent val="0"/>
          <c:showBubbleSize val="0"/>
        </c:dLbls>
        <c:gapWidth val="219"/>
        <c:overlap val="-27"/>
        <c:axId val="422858863"/>
        <c:axId val="422852623"/>
      </c:barChart>
      <c:catAx>
        <c:axId val="422858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22852623"/>
        <c:crosses val="autoZero"/>
        <c:auto val="1"/>
        <c:lblAlgn val="ctr"/>
        <c:lblOffset val="100"/>
        <c:noMultiLvlLbl val="0"/>
      </c:catAx>
      <c:valAx>
        <c:axId val="4228526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2285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 !PivotTable6</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Orders By Month</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'!$F$2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'!$E$3:$E$9</c:f>
              <c:strCache>
                <c:ptCount val="6"/>
                <c:pt idx="0">
                  <c:v>Mar</c:v>
                </c:pt>
                <c:pt idx="1">
                  <c:v>Apr</c:v>
                </c:pt>
                <c:pt idx="2">
                  <c:v>May</c:v>
                </c:pt>
                <c:pt idx="3">
                  <c:v>Jun</c:v>
                </c:pt>
                <c:pt idx="4">
                  <c:v>Jul</c:v>
                </c:pt>
                <c:pt idx="5">
                  <c:v>Aug</c:v>
                </c:pt>
              </c:strCache>
            </c:strRef>
          </c:cat>
          <c:val>
            <c:numRef>
              <c:f>'Pivot Tables '!$F$3:$F$9</c:f>
              <c:numCache>
                <c:formatCode>General</c:formatCode>
                <c:ptCount val="6"/>
                <c:pt idx="0">
                  <c:v>206</c:v>
                </c:pt>
                <c:pt idx="1">
                  <c:v>196</c:v>
                </c:pt>
                <c:pt idx="2">
                  <c:v>267</c:v>
                </c:pt>
                <c:pt idx="3">
                  <c:v>227</c:v>
                </c:pt>
                <c:pt idx="4">
                  <c:v>237</c:v>
                </c:pt>
                <c:pt idx="5">
                  <c:v>180</c:v>
                </c:pt>
              </c:numCache>
            </c:numRef>
          </c:val>
          <c:smooth val="0"/>
          <c:extLst>
            <c:ext xmlns:c16="http://schemas.microsoft.com/office/drawing/2014/chart" uri="{C3380CC4-5D6E-409C-BE32-E72D297353CC}">
              <c16:uniqueId val="{00000000-3FB4-47FA-8ABB-FFE7611CD0D7}"/>
            </c:ext>
          </c:extLst>
        </c:ser>
        <c:dLbls>
          <c:dLblPos val="t"/>
          <c:showLegendKey val="0"/>
          <c:showVal val="1"/>
          <c:showCatName val="0"/>
          <c:showSerName val="0"/>
          <c:showPercent val="0"/>
          <c:showBubbleSize val="0"/>
        </c:dLbls>
        <c:smooth val="0"/>
        <c:axId val="261417151"/>
        <c:axId val="261400831"/>
      </c:lineChart>
      <c:catAx>
        <c:axId val="26141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61400831"/>
        <c:crosses val="autoZero"/>
        <c:auto val="1"/>
        <c:lblAlgn val="ctr"/>
        <c:lblOffset val="100"/>
        <c:noMultiLvlLbl val="0"/>
      </c:catAx>
      <c:valAx>
        <c:axId val="261400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6141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 !PivotTable10</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Orders</a:t>
            </a:r>
            <a:r>
              <a:rPr lang="en-US" sz="1600" b="1" baseline="0"/>
              <a:t> By shift</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'!$N$2</c:f>
              <c:strCache>
                <c:ptCount val="1"/>
                <c:pt idx="0">
                  <c:v>Total</c:v>
                </c:pt>
              </c:strCache>
            </c:strRef>
          </c:tx>
          <c:spPr>
            <a:solidFill>
              <a:schemeClr val="accent1"/>
            </a:solidFill>
            <a:ln>
              <a:noFill/>
            </a:ln>
            <a:effectLst/>
          </c:spPr>
          <c:invertIfNegative val="0"/>
          <c:cat>
            <c:strRef>
              <c:f>'Pivot Tables '!$M$3:$M$6</c:f>
              <c:strCache>
                <c:ptCount val="3"/>
                <c:pt idx="0">
                  <c:v>Afternoon</c:v>
                </c:pt>
                <c:pt idx="1">
                  <c:v>Evening</c:v>
                </c:pt>
                <c:pt idx="2">
                  <c:v>Morning</c:v>
                </c:pt>
              </c:strCache>
            </c:strRef>
          </c:cat>
          <c:val>
            <c:numRef>
              <c:f>'Pivot Tables '!$N$3:$N$6</c:f>
              <c:numCache>
                <c:formatCode>General</c:formatCode>
                <c:ptCount val="3"/>
                <c:pt idx="0">
                  <c:v>420</c:v>
                </c:pt>
                <c:pt idx="1">
                  <c:v>383</c:v>
                </c:pt>
                <c:pt idx="2">
                  <c:v>510</c:v>
                </c:pt>
              </c:numCache>
            </c:numRef>
          </c:val>
          <c:extLst>
            <c:ext xmlns:c16="http://schemas.microsoft.com/office/drawing/2014/chart" uri="{C3380CC4-5D6E-409C-BE32-E72D297353CC}">
              <c16:uniqueId val="{00000000-CF13-4463-9EDC-308FD5786BCB}"/>
            </c:ext>
          </c:extLst>
        </c:ser>
        <c:dLbls>
          <c:showLegendKey val="0"/>
          <c:showVal val="0"/>
          <c:showCatName val="0"/>
          <c:showSerName val="0"/>
          <c:showPercent val="0"/>
          <c:showBubbleSize val="0"/>
        </c:dLbls>
        <c:gapWidth val="182"/>
        <c:axId val="261434431"/>
        <c:axId val="261431551"/>
      </c:barChart>
      <c:catAx>
        <c:axId val="26143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61431551"/>
        <c:crosses val="autoZero"/>
        <c:auto val="1"/>
        <c:lblAlgn val="ctr"/>
        <c:lblOffset val="100"/>
        <c:noMultiLvlLbl val="0"/>
      </c:catAx>
      <c:valAx>
        <c:axId val="261431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61434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 !PivotTable9</c:name>
    <c:fmtId val="0"/>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sz="1400"/>
              <a:t>Payment Method</a:t>
            </a:r>
          </a:p>
        </c:rich>
      </c:tx>
      <c:layout>
        <c:manualLayout>
          <c:xMode val="edge"/>
          <c:yMode val="edge"/>
          <c:x val="0.36194444444444451"/>
          <c:y val="4.9905220180810735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291196412948381"/>
              <c:y val="0.10687846310877806"/>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s>
    <c:plotArea>
      <c:layout/>
      <c:pieChart>
        <c:varyColors val="1"/>
        <c:ser>
          <c:idx val="0"/>
          <c:order val="0"/>
          <c:tx>
            <c:strRef>
              <c:f>'Pivot Tables '!$F$15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FE-40F0-AC56-093A9AFF03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01CA-4B40-A710-BDFEF84D0483}"/>
              </c:ext>
            </c:extLst>
          </c:dPt>
          <c:dLbls>
            <c:dLbl>
              <c:idx val="1"/>
              <c:layout>
                <c:manualLayout>
                  <c:x val="-0.12291196412948381"/>
                  <c:y val="0.10687846310877806"/>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01CA-4B40-A710-BDFEF84D0483}"/>
                </c:ext>
              </c:extLst>
            </c:dLbl>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'!$E$16:$E$18</c:f>
              <c:strCache>
                <c:ptCount val="2"/>
                <c:pt idx="0">
                  <c:v>Card</c:v>
                </c:pt>
                <c:pt idx="1">
                  <c:v>Cash</c:v>
                </c:pt>
              </c:strCache>
            </c:strRef>
          </c:cat>
          <c:val>
            <c:numRef>
              <c:f>'Pivot Tables '!$F$16:$F$18</c:f>
              <c:numCache>
                <c:formatCode>0.0%</c:formatCode>
                <c:ptCount val="2"/>
                <c:pt idx="0">
                  <c:v>0.9322162985529322</c:v>
                </c:pt>
                <c:pt idx="1">
                  <c:v>6.7783701447067787E-2</c:v>
                </c:pt>
              </c:numCache>
            </c:numRef>
          </c:val>
          <c:extLst>
            <c:ext xmlns:c16="http://schemas.microsoft.com/office/drawing/2014/chart" uri="{C3380CC4-5D6E-409C-BE32-E72D297353CC}">
              <c16:uniqueId val="{00000000-01CA-4B40-A710-BDFEF84D048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 !PivotTable5</c:name>
    <c:fmtId val="3"/>
  </c:pivotSource>
  <c:chart>
    <c:title>
      <c:tx>
        <c:rich>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r>
              <a:rPr lang="en-US" sz="1800" b="1"/>
              <a:t>Orders</a:t>
            </a:r>
            <a:r>
              <a:rPr lang="en-US" sz="1800" b="1" baseline="0"/>
              <a:t> BY Product</a:t>
            </a:r>
          </a:p>
        </c:rich>
      </c:tx>
      <c:overlay val="0"/>
      <c:spPr>
        <a:noFill/>
        <a:ln>
          <a:noFill/>
        </a:ln>
        <a:effectLst/>
      </c:spPr>
      <c:txPr>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'!$A$16:$A$24</c:f>
              <c:strCache>
                <c:ptCount val="8"/>
                <c:pt idx="0">
                  <c:v>Americano With Milk</c:v>
                </c:pt>
                <c:pt idx="1">
                  <c:v>Latte</c:v>
                </c:pt>
                <c:pt idx="2">
                  <c:v>Cappuccino</c:v>
                </c:pt>
                <c:pt idx="3">
                  <c:v>Americano</c:v>
                </c:pt>
                <c:pt idx="4">
                  <c:v>Cortado</c:v>
                </c:pt>
                <c:pt idx="5">
                  <c:v>Hot Chocolate</c:v>
                </c:pt>
                <c:pt idx="6">
                  <c:v>Espresso</c:v>
                </c:pt>
                <c:pt idx="7">
                  <c:v>Cocoa</c:v>
                </c:pt>
              </c:strCache>
            </c:strRef>
          </c:cat>
          <c:val>
            <c:numRef>
              <c:f>'Pivot Tables '!$B$16:$B$24</c:f>
              <c:numCache>
                <c:formatCode>General</c:formatCode>
                <c:ptCount val="8"/>
                <c:pt idx="0">
                  <c:v>319</c:v>
                </c:pt>
                <c:pt idx="1">
                  <c:v>282</c:v>
                </c:pt>
                <c:pt idx="2">
                  <c:v>222</c:v>
                </c:pt>
                <c:pt idx="3">
                  <c:v>185</c:v>
                </c:pt>
                <c:pt idx="4">
                  <c:v>123</c:v>
                </c:pt>
                <c:pt idx="5">
                  <c:v>79</c:v>
                </c:pt>
                <c:pt idx="6">
                  <c:v>59</c:v>
                </c:pt>
                <c:pt idx="7">
                  <c:v>44</c:v>
                </c:pt>
              </c:numCache>
            </c:numRef>
          </c:val>
          <c:extLst>
            <c:ext xmlns:c16="http://schemas.microsoft.com/office/drawing/2014/chart" uri="{C3380CC4-5D6E-409C-BE32-E72D297353CC}">
              <c16:uniqueId val="{00000000-6366-4C66-939E-B14D0F3A7E83}"/>
            </c:ext>
          </c:extLst>
        </c:ser>
        <c:dLbls>
          <c:dLblPos val="inEnd"/>
          <c:showLegendKey val="0"/>
          <c:showVal val="1"/>
          <c:showCatName val="0"/>
          <c:showSerName val="0"/>
          <c:showPercent val="0"/>
          <c:showBubbleSize val="0"/>
        </c:dLbls>
        <c:gapWidth val="219"/>
        <c:overlap val="-27"/>
        <c:axId val="422858863"/>
        <c:axId val="422852623"/>
      </c:barChart>
      <c:catAx>
        <c:axId val="422858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22852623"/>
        <c:crosses val="autoZero"/>
        <c:auto val="1"/>
        <c:lblAlgn val="ctr"/>
        <c:lblOffset val="100"/>
        <c:noMultiLvlLbl val="0"/>
      </c:catAx>
      <c:valAx>
        <c:axId val="422852623"/>
        <c:scaling>
          <c:orientation val="minMax"/>
        </c:scaling>
        <c:delete val="1"/>
        <c:axPos val="l"/>
        <c:numFmt formatCode="General" sourceLinked="1"/>
        <c:majorTickMark val="out"/>
        <c:minorTickMark val="none"/>
        <c:tickLblPos val="nextTo"/>
        <c:crossAx val="42285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6CCB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 !PivotTable6</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Orders By Month</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'!$F$2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'!$E$3:$E$9</c:f>
              <c:strCache>
                <c:ptCount val="6"/>
                <c:pt idx="0">
                  <c:v>Mar</c:v>
                </c:pt>
                <c:pt idx="1">
                  <c:v>Apr</c:v>
                </c:pt>
                <c:pt idx="2">
                  <c:v>May</c:v>
                </c:pt>
                <c:pt idx="3">
                  <c:v>Jun</c:v>
                </c:pt>
                <c:pt idx="4">
                  <c:v>Jul</c:v>
                </c:pt>
                <c:pt idx="5">
                  <c:v>Aug</c:v>
                </c:pt>
              </c:strCache>
            </c:strRef>
          </c:cat>
          <c:val>
            <c:numRef>
              <c:f>'Pivot Tables '!$F$3:$F$9</c:f>
              <c:numCache>
                <c:formatCode>General</c:formatCode>
                <c:ptCount val="6"/>
                <c:pt idx="0">
                  <c:v>206</c:v>
                </c:pt>
                <c:pt idx="1">
                  <c:v>196</c:v>
                </c:pt>
                <c:pt idx="2">
                  <c:v>267</c:v>
                </c:pt>
                <c:pt idx="3">
                  <c:v>227</c:v>
                </c:pt>
                <c:pt idx="4">
                  <c:v>237</c:v>
                </c:pt>
                <c:pt idx="5">
                  <c:v>180</c:v>
                </c:pt>
              </c:numCache>
            </c:numRef>
          </c:val>
          <c:smooth val="0"/>
          <c:extLst>
            <c:ext xmlns:c16="http://schemas.microsoft.com/office/drawing/2014/chart" uri="{C3380CC4-5D6E-409C-BE32-E72D297353CC}">
              <c16:uniqueId val="{00000000-1BA9-427E-9B18-B8F01C427AE8}"/>
            </c:ext>
          </c:extLst>
        </c:ser>
        <c:dLbls>
          <c:dLblPos val="t"/>
          <c:showLegendKey val="0"/>
          <c:showVal val="1"/>
          <c:showCatName val="0"/>
          <c:showSerName val="0"/>
          <c:showPercent val="0"/>
          <c:showBubbleSize val="0"/>
        </c:dLbls>
        <c:smooth val="0"/>
        <c:axId val="261417151"/>
        <c:axId val="261400831"/>
      </c:lineChart>
      <c:catAx>
        <c:axId val="26141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61400831"/>
        <c:crosses val="autoZero"/>
        <c:auto val="1"/>
        <c:lblAlgn val="ctr"/>
        <c:lblOffset val="100"/>
        <c:noMultiLvlLbl val="0"/>
      </c:catAx>
      <c:valAx>
        <c:axId val="261400831"/>
        <c:scaling>
          <c:orientation val="minMax"/>
        </c:scaling>
        <c:delete val="1"/>
        <c:axPos val="l"/>
        <c:numFmt formatCode="General" sourceLinked="1"/>
        <c:majorTickMark val="none"/>
        <c:minorTickMark val="none"/>
        <c:tickLblPos val="nextTo"/>
        <c:crossAx val="26141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6CCB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 !PivotTable10</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Orders</a:t>
            </a:r>
            <a:r>
              <a:rPr lang="en-US" sz="1600" b="1" baseline="0"/>
              <a:t> By shift</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'!$N$2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'!$M$3:$M$6</c:f>
              <c:strCache>
                <c:ptCount val="3"/>
                <c:pt idx="0">
                  <c:v>Afternoon</c:v>
                </c:pt>
                <c:pt idx="1">
                  <c:v>Evening</c:v>
                </c:pt>
                <c:pt idx="2">
                  <c:v>Morning</c:v>
                </c:pt>
              </c:strCache>
            </c:strRef>
          </c:cat>
          <c:val>
            <c:numRef>
              <c:f>'Pivot Tables '!$N$3:$N$6</c:f>
              <c:numCache>
                <c:formatCode>General</c:formatCode>
                <c:ptCount val="3"/>
                <c:pt idx="0">
                  <c:v>420</c:v>
                </c:pt>
                <c:pt idx="1">
                  <c:v>383</c:v>
                </c:pt>
                <c:pt idx="2">
                  <c:v>510</c:v>
                </c:pt>
              </c:numCache>
            </c:numRef>
          </c:val>
          <c:extLst>
            <c:ext xmlns:c16="http://schemas.microsoft.com/office/drawing/2014/chart" uri="{C3380CC4-5D6E-409C-BE32-E72D297353CC}">
              <c16:uniqueId val="{00000000-7789-4E56-9A75-52CFB86BE7CC}"/>
            </c:ext>
          </c:extLst>
        </c:ser>
        <c:dLbls>
          <c:dLblPos val="outEnd"/>
          <c:showLegendKey val="0"/>
          <c:showVal val="1"/>
          <c:showCatName val="0"/>
          <c:showSerName val="0"/>
          <c:showPercent val="0"/>
          <c:showBubbleSize val="0"/>
        </c:dLbls>
        <c:gapWidth val="182"/>
        <c:axId val="261434431"/>
        <c:axId val="261431551"/>
      </c:barChart>
      <c:catAx>
        <c:axId val="2614344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61431551"/>
        <c:crosses val="autoZero"/>
        <c:auto val="1"/>
        <c:lblAlgn val="ctr"/>
        <c:lblOffset val="100"/>
        <c:noMultiLvlLbl val="0"/>
      </c:catAx>
      <c:valAx>
        <c:axId val="261431551"/>
        <c:scaling>
          <c:orientation val="minMax"/>
        </c:scaling>
        <c:delete val="1"/>
        <c:axPos val="b"/>
        <c:numFmt formatCode="General" sourceLinked="1"/>
        <c:majorTickMark val="none"/>
        <c:minorTickMark val="none"/>
        <c:tickLblPos val="nextTo"/>
        <c:crossAx val="261434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6CCB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 !PivotTable9</c:name>
    <c:fmtId val="3"/>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sz="1400"/>
              <a:t>Payment Method</a:t>
            </a:r>
          </a:p>
        </c:rich>
      </c:tx>
      <c:layout>
        <c:manualLayout>
          <c:xMode val="edge"/>
          <c:yMode val="edge"/>
          <c:x val="0.36194444444444451"/>
          <c:y val="4.9905220180810735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2291196412948381"/>
              <c:y val="0.10687846310877806"/>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layout>
            <c:manualLayout>
              <c:x val="-0.12291196412948381"/>
              <c:y val="0.10687846310877806"/>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layout>
            <c:manualLayout>
              <c:x val="-0.12291196412948381"/>
              <c:y val="0.10687846310877806"/>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'Pivot Tables '!$F$15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2E-41A4-9ABC-93B7C08226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2E-41A4-9ABC-93B7C082266B}"/>
              </c:ext>
            </c:extLst>
          </c:dPt>
          <c:dLbls>
            <c:dLbl>
              <c:idx val="1"/>
              <c:layout>
                <c:manualLayout>
                  <c:x val="-0.12291196412948381"/>
                  <c:y val="0.10687846310877806"/>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7E2E-41A4-9ABC-93B7C082266B}"/>
                </c:ext>
              </c:extLst>
            </c:dLbl>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'!$E$16:$E$18</c:f>
              <c:strCache>
                <c:ptCount val="2"/>
                <c:pt idx="0">
                  <c:v>Card</c:v>
                </c:pt>
                <c:pt idx="1">
                  <c:v>Cash</c:v>
                </c:pt>
              </c:strCache>
            </c:strRef>
          </c:cat>
          <c:val>
            <c:numRef>
              <c:f>'Pivot Tables '!$F$16:$F$18</c:f>
              <c:numCache>
                <c:formatCode>0.0%</c:formatCode>
                <c:ptCount val="2"/>
                <c:pt idx="0">
                  <c:v>0.9322162985529322</c:v>
                </c:pt>
                <c:pt idx="1">
                  <c:v>6.7783701447067787E-2</c:v>
                </c:pt>
              </c:numCache>
            </c:numRef>
          </c:val>
          <c:extLst>
            <c:ext xmlns:c16="http://schemas.microsoft.com/office/drawing/2014/chart" uri="{C3380CC4-5D6E-409C-BE32-E72D297353CC}">
              <c16:uniqueId val="{00000004-7E2E-41A4-9ABC-93B7C082266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6CCB2"/>
    </a:solidFill>
    <a:ln w="9525" cap="flat" cmpd="sng" algn="ctr">
      <a:solidFill>
        <a:schemeClr val="tx1">
          <a:lumMod val="15000"/>
          <a:lumOff val="85000"/>
        </a:schemeClr>
      </a:solidFill>
      <a:round/>
    </a:ln>
    <a:effectLst/>
  </c:spPr>
  <c:txPr>
    <a:bodyPr/>
    <a:lstStyle/>
    <a:p>
      <a:pPr>
        <a:defRPr sz="10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Orders per Days</cx:v>
        </cx:txData>
      </cx:tx>
      <cx:txPr>
        <a:bodyPr spcFirstLastPara="1" vertOverflow="ellipsis" horzOverflow="overflow" wrap="square" lIns="0" tIns="0" rIns="0" bIns="0" anchor="ctr" anchorCtr="1"/>
        <a:lstStyle/>
        <a:p>
          <a:pPr algn="ctr" rtl="0">
            <a:defRPr sz="1600" b="1"/>
          </a:pPr>
          <a:r>
            <a:rPr lang="en-US" sz="1600" b="1" i="0" u="none" strike="noStrike" baseline="0">
              <a:solidFill>
                <a:sysClr val="windowText" lastClr="000000">
                  <a:lumMod val="65000"/>
                  <a:lumOff val="35000"/>
                </a:sysClr>
              </a:solidFill>
              <a:latin typeface="Calibri" panose="020F0502020204030204"/>
            </a:rPr>
            <a:t>Orders per Days</a:t>
          </a:r>
        </a:p>
      </cx:txPr>
    </cx:title>
    <cx:plotArea>
      <cx:plotAreaRegion>
        <cx:series layoutId="treemap" uniqueId="{D225C243-9811-49B7-AB40-29960BF655C3}">
          <cx:tx>
            <cx:txData>
              <cx:f>_xlchart.v1.1</cx:f>
              <cx:v>181 177 189 172 200 206 188</cx:v>
            </cx:txData>
          </cx:tx>
          <cx:dataLabels pos="inEnd">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Orders per Days</cx:v>
        </cx:txData>
      </cx:tx>
      <cx:txPr>
        <a:bodyPr spcFirstLastPara="1" vertOverflow="ellipsis" horzOverflow="overflow" wrap="square" lIns="0" tIns="0" rIns="0" bIns="0" anchor="ctr" anchorCtr="1"/>
        <a:lstStyle/>
        <a:p>
          <a:pPr algn="ctr" rtl="0">
            <a:defRPr sz="1800" b="1"/>
          </a:pPr>
          <a:r>
            <a:rPr lang="en-US" sz="1800" b="1" i="0" u="none" strike="noStrike" baseline="0">
              <a:solidFill>
                <a:sysClr val="windowText" lastClr="000000">
                  <a:lumMod val="65000"/>
                  <a:lumOff val="35000"/>
                </a:sysClr>
              </a:solidFill>
              <a:latin typeface="Calibri" panose="020F0502020204030204"/>
            </a:rPr>
            <a:t>Orders per Days</a:t>
          </a:r>
        </a:p>
      </cx:txPr>
    </cx:title>
    <cx:plotArea>
      <cx:plotAreaRegion>
        <cx:series layoutId="treemap" uniqueId="{D225C243-9811-49B7-AB40-29960BF655C3}">
          <cx:tx>
            <cx:txData>
              <cx:f>_xlchart.v1.3</cx:f>
              <cx:v>181 177 189 172 200 206 188</cx:v>
            </cx:txData>
          </cx:tx>
          <cx:dataLabels pos="inEnd">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solidFill>
      <a:srgbClr val="E6CCB2"/>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8.xml"/><Relationship Id="rId2" Type="http://schemas.openxmlformats.org/officeDocument/2006/relationships/image" Target="../media/image2.jpeg"/><Relationship Id="rId1" Type="http://schemas.openxmlformats.org/officeDocument/2006/relationships/image" Target="../media/image1.jpeg"/><Relationship Id="rId6" Type="http://schemas.microsoft.com/office/2014/relationships/chartEx" Target="../charts/chartEx2.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167640</xdr:rowOff>
    </xdr:from>
    <xdr:to>
      <xdr:col>6</xdr:col>
      <xdr:colOff>312420</xdr:colOff>
      <xdr:row>39</xdr:row>
      <xdr:rowOff>167640</xdr:rowOff>
    </xdr:to>
    <xdr:graphicFrame macro="">
      <xdr:nvGraphicFramePr>
        <xdr:cNvPr id="2" name="Chart 1">
          <a:extLst>
            <a:ext uri="{FF2B5EF4-FFF2-40B4-BE49-F238E27FC236}">
              <a16:creationId xmlns:a16="http://schemas.microsoft.com/office/drawing/2014/main" id="{E60DE3C9-D5C7-FB29-A91E-B4114898E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152400</xdr:colOff>
      <xdr:row>0</xdr:row>
      <xdr:rowOff>0</xdr:rowOff>
    </xdr:from>
    <xdr:to>
      <xdr:col>11</xdr:col>
      <xdr:colOff>464820</xdr:colOff>
      <xdr:row>12</xdr:row>
      <xdr:rowOff>15240</xdr:rowOff>
    </xdr:to>
    <xdr:graphicFrame macro="">
      <xdr:nvGraphicFramePr>
        <xdr:cNvPr id="3" name="Chart 2">
          <a:extLst>
            <a:ext uri="{FF2B5EF4-FFF2-40B4-BE49-F238E27FC236}">
              <a16:creationId xmlns:a16="http://schemas.microsoft.com/office/drawing/2014/main" id="{50521407-1642-A333-E05B-3E978589C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182880</xdr:colOff>
      <xdr:row>0</xdr:row>
      <xdr:rowOff>0</xdr:rowOff>
    </xdr:from>
    <xdr:to>
      <xdr:col>20</xdr:col>
      <xdr:colOff>320040</xdr:colOff>
      <xdr:row>15</xdr:row>
      <xdr:rowOff>0</xdr:rowOff>
    </xdr:to>
    <xdr:graphicFrame macro="">
      <xdr:nvGraphicFramePr>
        <xdr:cNvPr id="4" name="Chart 3">
          <a:extLst>
            <a:ext uri="{FF2B5EF4-FFF2-40B4-BE49-F238E27FC236}">
              <a16:creationId xmlns:a16="http://schemas.microsoft.com/office/drawing/2014/main" id="{8920A32E-5986-8CCF-7C05-1E600056E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76200</xdr:colOff>
      <xdr:row>17</xdr:row>
      <xdr:rowOff>144780</xdr:rowOff>
    </xdr:from>
    <xdr:to>
      <xdr:col>21</xdr:col>
      <xdr:colOff>403860</xdr:colOff>
      <xdr:row>32</xdr:row>
      <xdr:rowOff>144780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91829EEC-80A8-CCF0-125A-E0E32C8EF2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913620" y="3253740"/>
              <a:ext cx="550164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137160</xdr:colOff>
      <xdr:row>13</xdr:row>
      <xdr:rowOff>68580</xdr:rowOff>
    </xdr:from>
    <xdr:to>
      <xdr:col>11</xdr:col>
      <xdr:colOff>114300</xdr:colOff>
      <xdr:row>21</xdr:row>
      <xdr:rowOff>68580</xdr:rowOff>
    </xdr:to>
    <xdr:graphicFrame macro="">
      <xdr:nvGraphicFramePr>
        <xdr:cNvPr id="6" name="Chart 5">
          <a:extLst>
            <a:ext uri="{FF2B5EF4-FFF2-40B4-BE49-F238E27FC236}">
              <a16:creationId xmlns:a16="http://schemas.microsoft.com/office/drawing/2014/main" id="{D01FF3A7-E4BE-D648-DD0F-C222E9E9D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518160</xdr:colOff>
      <xdr:row>23</xdr:row>
      <xdr:rowOff>152400</xdr:rowOff>
    </xdr:from>
    <xdr:to>
      <xdr:col>11</xdr:col>
      <xdr:colOff>579120</xdr:colOff>
      <xdr:row>33</xdr:row>
      <xdr:rowOff>137159</xdr:rowOff>
    </xdr:to>
    <mc:AlternateContent xmlns:mc="http://schemas.openxmlformats.org/markup-compatibility/2006" xmlns:a14="http://schemas.microsoft.com/office/drawing/2010/main">
      <mc:Choice Requires="a14">
        <xdr:graphicFrame macro="">
          <xdr:nvGraphicFramePr>
            <xdr:cNvPr id="7" name="Day Name">
              <a:extLst>
                <a:ext uri="{FF2B5EF4-FFF2-40B4-BE49-F238E27FC236}">
                  <a16:creationId xmlns:a16="http://schemas.microsoft.com/office/drawing/2014/main" id="{C5DF5BBF-9BB4-E682-5196-BED4DD78F5B5}"/>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5516880" y="4358640"/>
              <a:ext cx="2849880" cy="1813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10</xdr:col>
      <xdr:colOff>270223</xdr:colOff>
      <xdr:row>2</xdr:row>
      <xdr:rowOff>88775</xdr:rowOff>
    </xdr:from>
    <xdr:ext cx="3293017" cy="718466"/>
    <xdr:sp macro="" textlink="">
      <xdr:nvSpPr>
        <xdr:cNvPr id="2" name="Rectangle 1">
          <a:extLst>
            <a:ext uri="{FF2B5EF4-FFF2-40B4-BE49-F238E27FC236}">
              <a16:creationId xmlns:a16="http://schemas.microsoft.com/office/drawing/2014/main" id="{CEBF5741-1773-4FFE-6FE7-A8D6187BD6F6}"/>
            </a:ext>
          </a:extLst>
        </xdr:cNvPr>
        <xdr:cNvSpPr/>
      </xdr:nvSpPr>
      <xdr:spPr>
        <a:xfrm>
          <a:off x="5108318" y="451632"/>
          <a:ext cx="3293017" cy="718466"/>
        </a:xfrm>
        <a:prstGeom prst="rect">
          <a:avLst/>
        </a:prstGeom>
        <a:solidFill>
          <a:srgbClr val="E6CCB2"/>
        </a:solidFill>
      </xdr:spPr>
      <xdr:txBody>
        <a:bodyPr wrap="none" lIns="91440" tIns="45720" rIns="91440" bIns="45720">
          <a:spAutoFit/>
        </a:bodyPr>
        <a:lstStyle/>
        <a:p>
          <a:pPr algn="ctr"/>
          <a:r>
            <a:rPr lang="en-US" sz="4000" b="1" i="0">
              <a:effectLst/>
              <a:latin typeface="+mn-lt"/>
              <a:ea typeface="+mn-ea"/>
              <a:cs typeface="+mn-cs"/>
            </a:rPr>
            <a:t>Pyramid Blend</a:t>
          </a:r>
          <a:endParaRPr lang="en-US" sz="40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8</xdr:col>
      <xdr:colOff>359591</xdr:colOff>
      <xdr:row>2</xdr:row>
      <xdr:rowOff>92770</xdr:rowOff>
    </xdr:from>
    <xdr:to>
      <xdr:col>10</xdr:col>
      <xdr:colOff>54792</xdr:colOff>
      <xdr:row>6</xdr:row>
      <xdr:rowOff>77530</xdr:rowOff>
    </xdr:to>
    <xdr:pic>
      <xdr:nvPicPr>
        <xdr:cNvPr id="4" name="Picture 3">
          <a:extLst>
            <a:ext uri="{FF2B5EF4-FFF2-40B4-BE49-F238E27FC236}">
              <a16:creationId xmlns:a16="http://schemas.microsoft.com/office/drawing/2014/main" id="{4C6BD06A-81AF-206F-732B-3187462F2F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88162" y="455627"/>
          <a:ext cx="904724" cy="710474"/>
        </a:xfrm>
        <a:prstGeom prst="rect">
          <a:avLst/>
        </a:prstGeom>
      </xdr:spPr>
    </xdr:pic>
    <xdr:clientData/>
  </xdr:twoCellAnchor>
  <xdr:twoCellAnchor>
    <xdr:from>
      <xdr:col>7</xdr:col>
      <xdr:colOff>598109</xdr:colOff>
      <xdr:row>7</xdr:row>
      <xdr:rowOff>87812</xdr:rowOff>
    </xdr:from>
    <xdr:to>
      <xdr:col>11</xdr:col>
      <xdr:colOff>77168</xdr:colOff>
      <xdr:row>12</xdr:row>
      <xdr:rowOff>95432</xdr:rowOff>
    </xdr:to>
    <xdr:grpSp>
      <xdr:nvGrpSpPr>
        <xdr:cNvPr id="7" name="Group 6">
          <a:extLst>
            <a:ext uri="{FF2B5EF4-FFF2-40B4-BE49-F238E27FC236}">
              <a16:creationId xmlns:a16="http://schemas.microsoft.com/office/drawing/2014/main" id="{EF9E0801-136A-B66F-942E-B8596700BD79}"/>
            </a:ext>
          </a:extLst>
        </xdr:cNvPr>
        <xdr:cNvGrpSpPr/>
      </xdr:nvGrpSpPr>
      <xdr:grpSpPr>
        <a:xfrm>
          <a:off x="4852609" y="1357812"/>
          <a:ext cx="1910202" cy="914763"/>
          <a:chOff x="3870960" y="1417320"/>
          <a:chExt cx="1912620" cy="922020"/>
        </a:xfrm>
        <a:solidFill>
          <a:srgbClr val="E6CCB2"/>
        </a:solidFill>
      </xdr:grpSpPr>
      <xdr:sp macro="" textlink="">
        <xdr:nvSpPr>
          <xdr:cNvPr id="5" name="Rectangle: Rounded Corners 4">
            <a:extLst>
              <a:ext uri="{FF2B5EF4-FFF2-40B4-BE49-F238E27FC236}">
                <a16:creationId xmlns:a16="http://schemas.microsoft.com/office/drawing/2014/main" id="{736775AD-537C-85AC-BFA1-7357E7C7CE6D}"/>
              </a:ext>
            </a:extLst>
          </xdr:cNvPr>
          <xdr:cNvSpPr/>
        </xdr:nvSpPr>
        <xdr:spPr>
          <a:xfrm>
            <a:off x="3870960" y="1417320"/>
            <a:ext cx="1912620" cy="92202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300" b="1">
                <a:solidFill>
                  <a:sysClr val="windowText" lastClr="000000"/>
                </a:solidFill>
              </a:rPr>
              <a:t>Total</a:t>
            </a:r>
            <a:r>
              <a:rPr lang="en-US" sz="2300" baseline="0">
                <a:solidFill>
                  <a:sysClr val="windowText" lastClr="000000"/>
                </a:solidFill>
              </a:rPr>
              <a:t> </a:t>
            </a:r>
            <a:r>
              <a:rPr lang="en-US" sz="2300" b="1" baseline="0">
                <a:solidFill>
                  <a:sysClr val="windowText" lastClr="000000"/>
                </a:solidFill>
              </a:rPr>
              <a:t>Sales</a:t>
            </a:r>
            <a:endParaRPr lang="en-US" sz="2300" b="1">
              <a:solidFill>
                <a:sysClr val="windowText" lastClr="000000"/>
              </a:solidFill>
            </a:endParaRPr>
          </a:p>
        </xdr:txBody>
      </xdr:sp>
      <xdr:sp macro="" textlink="'Pivot Tables '!A7">
        <xdr:nvSpPr>
          <xdr:cNvPr id="6" name="TextBox 5">
            <a:extLst>
              <a:ext uri="{FF2B5EF4-FFF2-40B4-BE49-F238E27FC236}">
                <a16:creationId xmlns:a16="http://schemas.microsoft.com/office/drawing/2014/main" id="{22264C9F-290B-C71A-C481-BF74A1AF247E}"/>
              </a:ext>
            </a:extLst>
          </xdr:cNvPr>
          <xdr:cNvSpPr txBox="1"/>
        </xdr:nvSpPr>
        <xdr:spPr>
          <a:xfrm>
            <a:off x="4168140" y="1889760"/>
            <a:ext cx="1333500"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723407-E772-4FD8-A698-03DBDCF08569}" type="TxLink">
              <a:rPr lang="en-US" sz="1400" b="1" i="0" u="none" strike="noStrike">
                <a:solidFill>
                  <a:srgbClr val="000000"/>
                </a:solidFill>
                <a:latin typeface="Calibri"/>
                <a:ea typeface="Calibri"/>
                <a:cs typeface="Calibri"/>
              </a:rPr>
              <a:pPr algn="ctr"/>
              <a:t>42627.58</a:t>
            </a:fld>
            <a:endParaRPr lang="en-US" sz="1400" b="1"/>
          </a:p>
        </xdr:txBody>
      </xdr:sp>
    </xdr:grpSp>
    <xdr:clientData/>
  </xdr:twoCellAnchor>
  <xdr:twoCellAnchor>
    <xdr:from>
      <xdr:col>11</xdr:col>
      <xdr:colOff>278433</xdr:colOff>
      <xdr:row>7</xdr:row>
      <xdr:rowOff>80191</xdr:rowOff>
    </xdr:from>
    <xdr:to>
      <xdr:col>14</xdr:col>
      <xdr:colOff>362253</xdr:colOff>
      <xdr:row>12</xdr:row>
      <xdr:rowOff>87811</xdr:rowOff>
    </xdr:to>
    <xdr:grpSp>
      <xdr:nvGrpSpPr>
        <xdr:cNvPr id="8" name="Group 7">
          <a:extLst>
            <a:ext uri="{FF2B5EF4-FFF2-40B4-BE49-F238E27FC236}">
              <a16:creationId xmlns:a16="http://schemas.microsoft.com/office/drawing/2014/main" id="{FE80C18D-4F54-46B9-A083-2A7333B31E3B}"/>
            </a:ext>
          </a:extLst>
        </xdr:cNvPr>
        <xdr:cNvGrpSpPr/>
      </xdr:nvGrpSpPr>
      <xdr:grpSpPr>
        <a:xfrm>
          <a:off x="6964076" y="1350191"/>
          <a:ext cx="1907177" cy="914763"/>
          <a:chOff x="3848100" y="1447800"/>
          <a:chExt cx="1912620" cy="922020"/>
        </a:xfrm>
        <a:solidFill>
          <a:srgbClr val="E6CCB2"/>
        </a:solidFill>
      </xdr:grpSpPr>
      <xdr:sp macro="" textlink="">
        <xdr:nvSpPr>
          <xdr:cNvPr id="9" name="Rectangle: Rounded Corners 8">
            <a:extLst>
              <a:ext uri="{FF2B5EF4-FFF2-40B4-BE49-F238E27FC236}">
                <a16:creationId xmlns:a16="http://schemas.microsoft.com/office/drawing/2014/main" id="{1AB1D050-FEEC-2ED7-B773-C1BA969BF05D}"/>
              </a:ext>
            </a:extLst>
          </xdr:cNvPr>
          <xdr:cNvSpPr/>
        </xdr:nvSpPr>
        <xdr:spPr>
          <a:xfrm>
            <a:off x="3848100" y="1447800"/>
            <a:ext cx="1912620" cy="92202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300" b="1">
                <a:solidFill>
                  <a:sysClr val="windowText" lastClr="000000"/>
                </a:solidFill>
              </a:rPr>
              <a:t>Orders</a:t>
            </a:r>
          </a:p>
        </xdr:txBody>
      </xdr:sp>
      <xdr:sp macro="" textlink="'Pivot Tables '!A3">
        <xdr:nvSpPr>
          <xdr:cNvPr id="10" name="TextBox 9">
            <a:extLst>
              <a:ext uri="{FF2B5EF4-FFF2-40B4-BE49-F238E27FC236}">
                <a16:creationId xmlns:a16="http://schemas.microsoft.com/office/drawing/2014/main" id="{E13CEC42-8C32-A8A9-BE79-44345ADC1FFC}"/>
              </a:ext>
            </a:extLst>
          </xdr:cNvPr>
          <xdr:cNvSpPr txBox="1"/>
        </xdr:nvSpPr>
        <xdr:spPr>
          <a:xfrm>
            <a:off x="4168140" y="1889760"/>
            <a:ext cx="1333500" cy="228600"/>
          </a:xfrm>
          <a:prstGeom prst="rect">
            <a:avLst/>
          </a:prstGeom>
          <a:grpFill/>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9BD9FD-496F-4A39-AB76-7773D11C18D2}" type="TxLink">
              <a:rPr lang="en-US" sz="1600" b="1" i="0" u="none" strike="noStrike">
                <a:solidFill>
                  <a:srgbClr val="000000"/>
                </a:solidFill>
                <a:latin typeface="Calibri"/>
                <a:ea typeface="Calibri"/>
                <a:cs typeface="Calibri"/>
              </a:rPr>
              <a:pPr algn="ctr"/>
              <a:t>1313</a:t>
            </a:fld>
            <a:endParaRPr lang="en-US" sz="1600" b="1"/>
          </a:p>
        </xdr:txBody>
      </xdr:sp>
    </xdr:grpSp>
    <xdr:clientData/>
  </xdr:twoCellAnchor>
  <xdr:twoCellAnchor>
    <xdr:from>
      <xdr:col>14</xdr:col>
      <xdr:colOff>514774</xdr:colOff>
      <xdr:row>7</xdr:row>
      <xdr:rowOff>98576</xdr:rowOff>
    </xdr:from>
    <xdr:to>
      <xdr:col>17</xdr:col>
      <xdr:colOff>598593</xdr:colOff>
      <xdr:row>12</xdr:row>
      <xdr:rowOff>106196</xdr:rowOff>
    </xdr:to>
    <xdr:grpSp>
      <xdr:nvGrpSpPr>
        <xdr:cNvPr id="11" name="Group 10">
          <a:extLst>
            <a:ext uri="{FF2B5EF4-FFF2-40B4-BE49-F238E27FC236}">
              <a16:creationId xmlns:a16="http://schemas.microsoft.com/office/drawing/2014/main" id="{E9AE93A6-A46B-4365-9564-542E7C3B6C1E}"/>
            </a:ext>
          </a:extLst>
        </xdr:cNvPr>
        <xdr:cNvGrpSpPr/>
      </xdr:nvGrpSpPr>
      <xdr:grpSpPr>
        <a:xfrm>
          <a:off x="9023774" y="1368576"/>
          <a:ext cx="1907176" cy="914763"/>
          <a:chOff x="3870960" y="1417320"/>
          <a:chExt cx="1912620" cy="922020"/>
        </a:xfrm>
        <a:solidFill>
          <a:srgbClr val="E6CCB2"/>
        </a:solidFill>
      </xdr:grpSpPr>
      <xdr:sp macro="" textlink="">
        <xdr:nvSpPr>
          <xdr:cNvPr id="12" name="Rectangle: Rounded Corners 11">
            <a:extLst>
              <a:ext uri="{FF2B5EF4-FFF2-40B4-BE49-F238E27FC236}">
                <a16:creationId xmlns:a16="http://schemas.microsoft.com/office/drawing/2014/main" id="{C1B8DDEC-2F57-9B49-DD13-9DF5C88633D7}"/>
              </a:ext>
            </a:extLst>
          </xdr:cNvPr>
          <xdr:cNvSpPr/>
        </xdr:nvSpPr>
        <xdr:spPr>
          <a:xfrm>
            <a:off x="3870960" y="1417320"/>
            <a:ext cx="1912620" cy="92202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300" b="1">
                <a:solidFill>
                  <a:sysClr val="windowText" lastClr="000000"/>
                </a:solidFill>
              </a:rPr>
              <a:t>Products</a:t>
            </a:r>
            <a:endParaRPr lang="en-US" sz="2300" b="1" baseline="0">
              <a:solidFill>
                <a:sysClr val="windowText" lastClr="000000"/>
              </a:solidFill>
            </a:endParaRPr>
          </a:p>
        </xdr:txBody>
      </xdr:sp>
      <xdr:sp macro="" textlink="'Pivot Tables '!A12">
        <xdr:nvSpPr>
          <xdr:cNvPr id="13" name="TextBox 12">
            <a:extLst>
              <a:ext uri="{FF2B5EF4-FFF2-40B4-BE49-F238E27FC236}">
                <a16:creationId xmlns:a16="http://schemas.microsoft.com/office/drawing/2014/main" id="{F65CE6D6-77AA-564D-8707-EA74920CD489}"/>
              </a:ext>
            </a:extLst>
          </xdr:cNvPr>
          <xdr:cNvSpPr txBox="1"/>
        </xdr:nvSpPr>
        <xdr:spPr>
          <a:xfrm>
            <a:off x="4168140" y="1889760"/>
            <a:ext cx="1333500"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D63502-3353-4C8F-B766-C6AE592E4F57}" type="TxLink">
              <a:rPr lang="en-US" sz="1600" b="1" i="0" u="none" strike="noStrike">
                <a:solidFill>
                  <a:srgbClr val="000000"/>
                </a:solidFill>
                <a:latin typeface="Calibri"/>
                <a:ea typeface="Calibri"/>
                <a:cs typeface="Calibri"/>
              </a:rPr>
              <a:pPr algn="ctr"/>
              <a:t>8</a:t>
            </a:fld>
            <a:endParaRPr lang="en-US" sz="2000" b="1"/>
          </a:p>
        </xdr:txBody>
      </xdr:sp>
    </xdr:grpSp>
    <xdr:clientData/>
  </xdr:twoCellAnchor>
  <xdr:twoCellAnchor editAs="oneCell">
    <xdr:from>
      <xdr:col>16</xdr:col>
      <xdr:colOff>92408</xdr:colOff>
      <xdr:row>2</xdr:row>
      <xdr:rowOff>73055</xdr:rowOff>
    </xdr:from>
    <xdr:to>
      <xdr:col>17</xdr:col>
      <xdr:colOff>397207</xdr:colOff>
      <xdr:row>6</xdr:row>
      <xdr:rowOff>57815</xdr:rowOff>
    </xdr:to>
    <xdr:pic>
      <xdr:nvPicPr>
        <xdr:cNvPr id="17" name="Picture 16">
          <a:extLst>
            <a:ext uri="{FF2B5EF4-FFF2-40B4-BE49-F238E27FC236}">
              <a16:creationId xmlns:a16="http://schemas.microsoft.com/office/drawing/2014/main" id="{DB0CA13D-C2DC-4819-B407-5C006279F78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59075" y="435912"/>
          <a:ext cx="909561" cy="710474"/>
        </a:xfrm>
        <a:prstGeom prst="rect">
          <a:avLst/>
        </a:prstGeom>
      </xdr:spPr>
    </xdr:pic>
    <xdr:clientData/>
  </xdr:twoCellAnchor>
  <xdr:twoCellAnchor>
    <xdr:from>
      <xdr:col>2</xdr:col>
      <xdr:colOff>170257</xdr:colOff>
      <xdr:row>14</xdr:row>
      <xdr:rowOff>114226</xdr:rowOff>
    </xdr:from>
    <xdr:to>
      <xdr:col>13</xdr:col>
      <xdr:colOff>482958</xdr:colOff>
      <xdr:row>28</xdr:row>
      <xdr:rowOff>107324</xdr:rowOff>
    </xdr:to>
    <xdr:graphicFrame macro="">
      <xdr:nvGraphicFramePr>
        <xdr:cNvPr id="18" name="Chart 17">
          <a:extLst>
            <a:ext uri="{FF2B5EF4-FFF2-40B4-BE49-F238E27FC236}">
              <a16:creationId xmlns:a16="http://schemas.microsoft.com/office/drawing/2014/main" id="{7150C4EA-4490-462C-96DE-C238EF00C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64394</xdr:colOff>
      <xdr:row>14</xdr:row>
      <xdr:rowOff>148192</xdr:rowOff>
    </xdr:from>
    <xdr:to>
      <xdr:col>26</xdr:col>
      <xdr:colOff>118058</xdr:colOff>
      <xdr:row>28</xdr:row>
      <xdr:rowOff>139521</xdr:rowOff>
    </xdr:to>
    <xdr:graphicFrame macro="">
      <xdr:nvGraphicFramePr>
        <xdr:cNvPr id="19" name="Chart 18">
          <a:extLst>
            <a:ext uri="{FF2B5EF4-FFF2-40B4-BE49-F238E27FC236}">
              <a16:creationId xmlns:a16="http://schemas.microsoft.com/office/drawing/2014/main" id="{C25E7394-4DB4-4B14-9ECF-A72FD8458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578693</xdr:colOff>
      <xdr:row>29</xdr:row>
      <xdr:rowOff>149082</xdr:rowOff>
    </xdr:from>
    <xdr:to>
      <xdr:col>26</xdr:col>
      <xdr:colOff>312598</xdr:colOff>
      <xdr:row>45</xdr:row>
      <xdr:rowOff>-1</xdr:rowOff>
    </xdr:to>
    <xdr:graphicFrame macro="">
      <xdr:nvGraphicFramePr>
        <xdr:cNvPr id="20" name="Chart 19">
          <a:extLst>
            <a:ext uri="{FF2B5EF4-FFF2-40B4-BE49-F238E27FC236}">
              <a16:creationId xmlns:a16="http://schemas.microsoft.com/office/drawing/2014/main" id="{00884FE7-3B14-4BFF-9E91-3CF50616A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161365</xdr:colOff>
      <xdr:row>29</xdr:row>
      <xdr:rowOff>98612</xdr:rowOff>
    </xdr:from>
    <xdr:to>
      <xdr:col>10</xdr:col>
      <xdr:colOff>564776</xdr:colOff>
      <xdr:row>44</xdr:row>
      <xdr:rowOff>152400</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5B6450D3-D151-49DB-B0C5-FB6ADD099D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1365" y="5402132"/>
              <a:ext cx="5280211" cy="27969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128790</xdr:colOff>
      <xdr:row>29</xdr:row>
      <xdr:rowOff>118057</xdr:rowOff>
    </xdr:from>
    <xdr:to>
      <xdr:col>18</xdr:col>
      <xdr:colOff>418564</xdr:colOff>
      <xdr:row>44</xdr:row>
      <xdr:rowOff>171717</xdr:rowOff>
    </xdr:to>
    <xdr:graphicFrame macro="">
      <xdr:nvGraphicFramePr>
        <xdr:cNvPr id="22" name="Chart 21">
          <a:extLst>
            <a:ext uri="{FF2B5EF4-FFF2-40B4-BE49-F238E27FC236}">
              <a16:creationId xmlns:a16="http://schemas.microsoft.com/office/drawing/2014/main" id="{0AFC3CA1-9646-4BCF-A56D-26B3CF8AF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107323</xdr:colOff>
      <xdr:row>5</xdr:row>
      <xdr:rowOff>118056</xdr:rowOff>
    </xdr:from>
    <xdr:to>
      <xdr:col>7</xdr:col>
      <xdr:colOff>482957</xdr:colOff>
      <xdr:row>13</xdr:row>
      <xdr:rowOff>53661</xdr:rowOff>
    </xdr:to>
    <mc:AlternateContent xmlns:mc="http://schemas.openxmlformats.org/markup-compatibility/2006">
      <mc:Choice xmlns:a14="http://schemas.microsoft.com/office/drawing/2010/main" Requires="a14">
        <xdr:graphicFrame macro="">
          <xdr:nvGraphicFramePr>
            <xdr:cNvPr id="23" name="Day Name 1">
              <a:extLst>
                <a:ext uri="{FF2B5EF4-FFF2-40B4-BE49-F238E27FC236}">
                  <a16:creationId xmlns:a16="http://schemas.microsoft.com/office/drawing/2014/main" id="{29CA4771-9248-4C62-B6D3-2EA52B721800}"/>
                </a:ext>
              </a:extLst>
            </xdr:cNvPr>
            <xdr:cNvGraphicFramePr/>
          </xdr:nvGraphicFramePr>
          <xdr:xfrm>
            <a:off x="0" y="0"/>
            <a:ext cx="0" cy="0"/>
          </xdr:xfrm>
          <a:graphic>
            <a:graphicData uri="http://schemas.microsoft.com/office/drawing/2010/slicer">
              <sle:slicer xmlns:sle="http://schemas.microsoft.com/office/drawing/2010/slicer" name="Day Name 1"/>
            </a:graphicData>
          </a:graphic>
        </xdr:graphicFrame>
      </mc:Choice>
      <mc:Fallback>
        <xdr:sp macro="" textlink="">
          <xdr:nvSpPr>
            <xdr:cNvPr id="0" name=""/>
            <xdr:cNvSpPr>
              <a:spLocks noTextEdit="1"/>
            </xdr:cNvSpPr>
          </xdr:nvSpPr>
          <xdr:spPr>
            <a:xfrm>
              <a:off x="1322894" y="1025199"/>
              <a:ext cx="3414563" cy="13870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198482</xdr:colOff>
      <xdr:row>5</xdr:row>
      <xdr:rowOff>134257</xdr:rowOff>
    </xdr:from>
    <xdr:to>
      <xdr:col>27</xdr:col>
      <xdr:colOff>108857</xdr:colOff>
      <xdr:row>13</xdr:row>
      <xdr:rowOff>36286</xdr:rowOff>
    </xdr:to>
    <mc:AlternateContent xmlns:mc="http://schemas.openxmlformats.org/markup-compatibility/2006">
      <mc:Choice xmlns:a14="http://schemas.microsoft.com/office/drawing/2010/main" Requires="a14">
        <xdr:graphicFrame macro="">
          <xdr:nvGraphicFramePr>
            <xdr:cNvPr id="3" name="coffee_name">
              <a:extLst>
                <a:ext uri="{FF2B5EF4-FFF2-40B4-BE49-F238E27FC236}">
                  <a16:creationId xmlns:a16="http://schemas.microsoft.com/office/drawing/2014/main" id="{5A61756F-BD74-136C-3223-1F6FC53B25D6}"/>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dr:sp macro="" textlink="">
          <xdr:nvSpPr>
            <xdr:cNvPr id="0" name=""/>
            <xdr:cNvSpPr>
              <a:spLocks noTextEdit="1"/>
            </xdr:cNvSpPr>
          </xdr:nvSpPr>
          <xdr:spPr>
            <a:xfrm>
              <a:off x="11138625" y="1041400"/>
              <a:ext cx="5380446" cy="1353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_ELTMSAH" refreshedDate="45943.835091898145" backgroundQuery="1" createdVersion="8" refreshedVersion="8" minRefreshableVersion="3" recordCount="0" supportSubquery="1" supportAdvancedDrill="1" xr:uid="{825160D0-5E5D-4E52-A337-C2D0AD6EBDB1}">
  <cacheSource type="external" connectionId="2"/>
  <cacheFields count="2">
    <cacheField name="[Measures].[Orders]" caption="Orders" numFmtId="0" hierarchy="10" level="32767"/>
    <cacheField name="[index].[Day Name].[Day Name]" caption="Day Name" numFmtId="0" hierarchy="1" level="1">
      <sharedItems containsSemiMixedTypes="0" containsNonDate="0" containsString="0"/>
    </cacheField>
  </cacheFields>
  <cacheHierarchies count="14">
    <cacheHierarchy uniqueName="[index].[date]" caption="date" attribute="1" time="1" defaultMemberUniqueName="[index].[date].[All]" allUniqueName="[index].[date].[All]" dimensionUniqueName="[index]" displayFolder="" count="0" memberValueDatatype="7" unbalanced="0"/>
    <cacheHierarchy uniqueName="[index].[Day Name]" caption="Day Name" attribute="1" defaultMemberUniqueName="[index].[Day Name].[All]" allUniqueName="[index].[Day Name].[All]" dimensionUniqueName="[index]" displayFolder="" count="2" memberValueDatatype="130" unbalanced="0">
      <fieldsUsage count="2">
        <fieldUsage x="-1"/>
        <fieldUsage x="1"/>
      </fieldsUsage>
    </cacheHierarchy>
    <cacheHierarchy uniqueName="[index].[datetime]" caption="datetime" attribute="1" time="1" defaultMemberUniqueName="[index].[datetime].[All]" allUniqueName="[index].[datetime].[All]" dimensionUniqueName="[index]" displayFolder="" count="0" memberValueDatatype="7" unbalanced="0"/>
    <cacheHierarchy uniqueName="[index].[Shifts]" caption="Shifts" attribute="1" defaultMemberUniqueName="[index].[Shifts].[All]" allUniqueName="[index].[Shifts].[All]" dimensionUniqueName="[index]" displayFolder="" count="0" memberValueDatatype="130" unbalanced="0"/>
    <cacheHierarchy uniqueName="[index].[cash_type]" caption="cash_type" attribute="1" defaultMemberUniqueName="[index].[cash_type].[All]" allUniqueName="[index].[cash_type].[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0" memberValueDatatype="130" unbalanced="0"/>
    <cacheHierarchy uniqueName="[index].[date (Month)]" caption="date (Month)" attribute="1" defaultMemberUniqueName="[index].[date (Month)].[All]" allUniqueName="[index].[date (Month)].[All]" dimensionUniqueName="[index]" displayFolder="" count="0" memberValueDatatype="130" unbalanced="0"/>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_ELTMSAH" refreshedDate="45943.835092476853" backgroundQuery="1" createdVersion="8" refreshedVersion="8" minRefreshableVersion="3" recordCount="0" supportSubquery="1" supportAdvancedDrill="1" xr:uid="{E3576D2B-F8DE-40F8-AF0F-732DE1ECBA3E}">
  <cacheSource type="external" connectionId="2"/>
  <cacheFields count="3">
    <cacheField name="[Measures].[Orders]" caption="Orders" numFmtId="0" hierarchy="10" level="32767"/>
    <cacheField name="[index].[Shifts].[Shifts]" caption="Shifts" numFmtId="0" hierarchy="3" level="1">
      <sharedItems count="3">
        <s v="Afternoon"/>
        <s v="Evening"/>
        <s v="Morning"/>
      </sharedItems>
    </cacheField>
    <cacheField name="[index].[Day Name].[Day Name]" caption="Day Name" numFmtId="0" hierarchy="1" level="1">
      <sharedItems containsSemiMixedTypes="0" containsNonDate="0" containsString="0"/>
    </cacheField>
  </cacheFields>
  <cacheHierarchies count="14">
    <cacheHierarchy uniqueName="[index].[date]" caption="date" attribute="1" time="1" defaultMemberUniqueName="[index].[date].[All]" allUniqueName="[index].[date].[All]" dimensionUniqueName="[index]" displayFolder="" count="0" memberValueDatatype="7" unbalanced="0"/>
    <cacheHierarchy uniqueName="[index].[Day Name]" caption="Day Name" attribute="1" defaultMemberUniqueName="[index].[Day Name].[All]" allUniqueName="[index].[Day Name].[All]" dimensionUniqueName="[index]" displayFolder="" count="2" memberValueDatatype="130" unbalanced="0">
      <fieldsUsage count="2">
        <fieldUsage x="-1"/>
        <fieldUsage x="2"/>
      </fieldsUsage>
    </cacheHierarchy>
    <cacheHierarchy uniqueName="[index].[datetime]" caption="datetime" attribute="1" time="1" defaultMemberUniqueName="[index].[datetime].[All]" allUniqueName="[index].[datetime].[All]" dimensionUniqueName="[index]" displayFolder="" count="0" memberValueDatatype="7" unbalanced="0"/>
    <cacheHierarchy uniqueName="[index].[Shifts]" caption="Shifts" attribute="1" defaultMemberUniqueName="[index].[Shifts].[All]" allUniqueName="[index].[Shifts].[All]" dimensionUniqueName="[index]" displayFolder="" count="2" memberValueDatatype="130" unbalanced="0">
      <fieldsUsage count="2">
        <fieldUsage x="-1"/>
        <fieldUsage x="1"/>
      </fieldsUsage>
    </cacheHierarchy>
    <cacheHierarchy uniqueName="[index].[cash_type]" caption="cash_type" attribute="1" defaultMemberUniqueName="[index].[cash_type].[All]" allUniqueName="[index].[cash_type].[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0" memberValueDatatype="130" unbalanced="0"/>
    <cacheHierarchy uniqueName="[index].[date (Month)]" caption="date (Month)" attribute="1" defaultMemberUniqueName="[index].[date (Month)].[All]" allUniqueName="[index].[date (Month)].[All]" dimensionUniqueName="[index]" displayFolder="" count="0" memberValueDatatype="130" unbalanced="0"/>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_ELTMSAH" refreshedDate="45943.835092476853" backgroundQuery="1" createdVersion="8" refreshedVersion="8" minRefreshableVersion="3" recordCount="0" supportSubquery="1" supportAdvancedDrill="1" xr:uid="{611D4A29-88A9-4D75-9F40-A6D80095890C}">
  <cacheSource type="external" connectionId="2"/>
  <cacheFields count="2">
    <cacheField name="[Measures].[Total Sales]" caption="Total Sales" numFmtId="0" hierarchy="9" level="32767"/>
    <cacheField name="[index].[Day Name].[Day Name]" caption="Day Name" numFmtId="0" hierarchy="1" level="1">
      <sharedItems containsSemiMixedTypes="0" containsNonDate="0" containsString="0"/>
    </cacheField>
  </cacheFields>
  <cacheHierarchies count="14">
    <cacheHierarchy uniqueName="[index].[date]" caption="date" attribute="1" time="1" defaultMemberUniqueName="[index].[date].[All]" allUniqueName="[index].[date].[All]" dimensionUniqueName="[index]" displayFolder="" count="0" memberValueDatatype="7" unbalanced="0"/>
    <cacheHierarchy uniqueName="[index].[Day Name]" caption="Day Name" attribute="1" defaultMemberUniqueName="[index].[Day Name].[All]" allUniqueName="[index].[Day Name].[All]" dimensionUniqueName="[index]" displayFolder="" count="2" memberValueDatatype="130" unbalanced="0">
      <fieldsUsage count="2">
        <fieldUsage x="-1"/>
        <fieldUsage x="1"/>
      </fieldsUsage>
    </cacheHierarchy>
    <cacheHierarchy uniqueName="[index].[datetime]" caption="datetime" attribute="1" time="1" defaultMemberUniqueName="[index].[datetime].[All]" allUniqueName="[index].[datetime].[All]" dimensionUniqueName="[index]" displayFolder="" count="0" memberValueDatatype="7" unbalanced="0"/>
    <cacheHierarchy uniqueName="[index].[Shifts]" caption="Shifts" attribute="1" defaultMemberUniqueName="[index].[Shifts].[All]" allUniqueName="[index].[Shifts].[All]" dimensionUniqueName="[index]" displayFolder="" count="0" memberValueDatatype="130" unbalanced="0"/>
    <cacheHierarchy uniqueName="[index].[cash_type]" caption="cash_type" attribute="1" defaultMemberUniqueName="[index].[cash_type].[All]" allUniqueName="[index].[cash_type].[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0" memberValueDatatype="130" unbalanced="0"/>
    <cacheHierarchy uniqueName="[index].[date (Month)]" caption="date (Month)" attribute="1" defaultMemberUniqueName="[index].[date (Month)].[All]" allUniqueName="[index].[date (Month)].[All]" dimensionUniqueName="[index]" displayFolder="" count="0" memberValueDatatype="130" unbalanced="0"/>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Total Sales]" caption="Total Sales" measure="1" displayFolder="" measureGroup="index" count="0" oneField="1">
      <fieldsUsage count="1">
        <fieldUsage x="0"/>
      </fieldsUsage>
    </cacheHierarchy>
    <cacheHierarchy uniqueName="[Measures].[Orders]" caption="Orders" measure="1" displayFolder="" measureGroup="index" count="0"/>
    <cacheHierarchy uniqueName="[Measures].[items]" caption="items"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_ELTMSAH" refreshedDate="45943.835092592592" backgroundQuery="1" createdVersion="8" refreshedVersion="8" minRefreshableVersion="3" recordCount="0" supportSubquery="1" supportAdvancedDrill="1" xr:uid="{38D13680-E776-47C6-8EEB-1F30B104DA2B}">
  <cacheSource type="external" connectionId="2"/>
  <cacheFields count="2">
    <cacheField name="[Measures].[items]" caption="items" numFmtId="0" hierarchy="11" level="32767"/>
    <cacheField name="[index].[Day Name].[Day Name]" caption="Day Name" numFmtId="0" hierarchy="1" level="1">
      <sharedItems containsSemiMixedTypes="0" containsNonDate="0" containsString="0"/>
    </cacheField>
  </cacheFields>
  <cacheHierarchies count="14">
    <cacheHierarchy uniqueName="[index].[date]" caption="date" attribute="1" time="1" defaultMemberUniqueName="[index].[date].[All]" allUniqueName="[index].[date].[All]" dimensionUniqueName="[index]" displayFolder="" count="0" memberValueDatatype="7" unbalanced="0"/>
    <cacheHierarchy uniqueName="[index].[Day Name]" caption="Day Name" attribute="1" defaultMemberUniqueName="[index].[Day Name].[All]" allUniqueName="[index].[Day Name].[All]" dimensionUniqueName="[index]" displayFolder="" count="2" memberValueDatatype="130" unbalanced="0">
      <fieldsUsage count="2">
        <fieldUsage x="-1"/>
        <fieldUsage x="1"/>
      </fieldsUsage>
    </cacheHierarchy>
    <cacheHierarchy uniqueName="[index].[datetime]" caption="datetime" attribute="1" time="1" defaultMemberUniqueName="[index].[datetime].[All]" allUniqueName="[index].[datetime].[All]" dimensionUniqueName="[index]" displayFolder="" count="0" memberValueDatatype="7" unbalanced="0"/>
    <cacheHierarchy uniqueName="[index].[Shifts]" caption="Shifts" attribute="1" defaultMemberUniqueName="[index].[Shifts].[All]" allUniqueName="[index].[Shifts].[All]" dimensionUniqueName="[index]" displayFolder="" count="0" memberValueDatatype="130" unbalanced="0"/>
    <cacheHierarchy uniqueName="[index].[cash_type]" caption="cash_type" attribute="1" defaultMemberUniqueName="[index].[cash_type].[All]" allUniqueName="[index].[cash_type].[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0" memberValueDatatype="130" unbalanced="0"/>
    <cacheHierarchy uniqueName="[index].[date (Month)]" caption="date (Month)" attribute="1" defaultMemberUniqueName="[index].[date (Month)].[All]" allUniqueName="[index].[date (Month)].[All]" dimensionUniqueName="[index]" displayFolder="" count="0" memberValueDatatype="130" unbalanced="0"/>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cacheHierarchy uniqueName="[Measures].[items]" caption="items" measure="1" displayFolder="" measureGroup="index" count="0" oneField="1">
      <fieldsUsage count="1">
        <fieldUsage x="0"/>
      </fieldsUsage>
    </cacheHierarchy>
    <cacheHierarchy uniqueName="[Measures].[__XL_Count index]" caption="__XL_Count index" measure="1" displayFolder="" measureGroup="index" count="0" hidden="1"/>
    <cacheHierarchy uniqueName="[Measures].[__No measures defined]" caption="__No measures defined" measure="1" displayFolder="" count="0" hidden="1"/>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_ELTMSAH" refreshedDate="45943.835093055553" backgroundQuery="1" createdVersion="8" refreshedVersion="8" minRefreshableVersion="3" recordCount="0" supportSubquery="1" supportAdvancedDrill="1" xr:uid="{40B96A2E-390D-4B16-8EDC-40A735499C7B}">
  <cacheSource type="external" connectionId="2"/>
  <cacheFields count="3">
    <cacheField name="[Measures].[Orders]" caption="Orders" numFmtId="0" hierarchy="10" level="32767"/>
    <cacheField name="[index].[coffee_name].[coffee_name]" caption="coffee_name" numFmtId="0" hierarchy="6" level="1">
      <sharedItems count="8">
        <s v="Americano"/>
        <s v="Americano With Milk"/>
        <s v="Cappuccino"/>
        <s v="Cocoa"/>
        <s v="Cortado"/>
        <s v="Espresso"/>
        <s v="Hot Chocolate"/>
        <s v="Latte"/>
      </sharedItems>
    </cacheField>
    <cacheField name="[index].[Day Name].[Day Name]" caption="Day Name" numFmtId="0" hierarchy="1" level="1">
      <sharedItems containsSemiMixedTypes="0" containsNonDate="0" containsString="0"/>
    </cacheField>
  </cacheFields>
  <cacheHierarchies count="14">
    <cacheHierarchy uniqueName="[index].[date]" caption="date" attribute="1" time="1" defaultMemberUniqueName="[index].[date].[All]" allUniqueName="[index].[date].[All]" dimensionUniqueName="[index]" displayFolder="" count="0" memberValueDatatype="7" unbalanced="0"/>
    <cacheHierarchy uniqueName="[index].[Day Name]" caption="Day Name" attribute="1" defaultMemberUniqueName="[index].[Day Name].[All]" allUniqueName="[index].[Day Name].[All]" dimensionUniqueName="[index]" displayFolder="" count="2" memberValueDatatype="130" unbalanced="0">
      <fieldsUsage count="2">
        <fieldUsage x="-1"/>
        <fieldUsage x="2"/>
      </fieldsUsage>
    </cacheHierarchy>
    <cacheHierarchy uniqueName="[index].[datetime]" caption="datetime" attribute="1" time="1" defaultMemberUniqueName="[index].[datetime].[All]" allUniqueName="[index].[datetime].[All]" dimensionUniqueName="[index]" displayFolder="" count="0" memberValueDatatype="7" unbalanced="0"/>
    <cacheHierarchy uniqueName="[index].[Shifts]" caption="Shifts" attribute="1" defaultMemberUniqueName="[index].[Shifts].[All]" allUniqueName="[index].[Shifts].[All]" dimensionUniqueName="[index]" displayFolder="" count="0" memberValueDatatype="130" unbalanced="0"/>
    <cacheHierarchy uniqueName="[index].[cash_type]" caption="cash_type" attribute="1" defaultMemberUniqueName="[index].[cash_type].[All]" allUniqueName="[index].[cash_type].[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2" memberValueDatatype="130" unbalanced="0">
      <fieldsUsage count="2">
        <fieldUsage x="-1"/>
        <fieldUsage x="1"/>
      </fieldsUsage>
    </cacheHierarchy>
    <cacheHierarchy uniqueName="[index].[date (Month)]" caption="date (Month)" attribute="1" defaultMemberUniqueName="[index].[date (Month)].[All]" allUniqueName="[index].[date (Month)].[All]" dimensionUniqueName="[index]" displayFolder="" count="0" memberValueDatatype="130" unbalanced="0"/>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_ELTMSAH" refreshedDate="45943.835093402777" backgroundQuery="1" createdVersion="8" refreshedVersion="8" minRefreshableVersion="3" recordCount="0" supportSubquery="1" supportAdvancedDrill="1" xr:uid="{30C3C915-F3DF-4553-9253-90C4F2D0B91E}">
  <cacheSource type="external" connectionId="2"/>
  <cacheFields count="3">
    <cacheField name="[Measures].[Orders]" caption="Orders" numFmtId="0" hierarchy="10" level="32767"/>
    <cacheField name="[index].[date (Month)].[date (Month)]" caption="date (Month)" numFmtId="0" hierarchy="7" level="1">
      <sharedItems count="6">
        <s v="Mar"/>
        <s v="Apr"/>
        <s v="May"/>
        <s v="Jun"/>
        <s v="Jul"/>
        <s v="Aug"/>
      </sharedItems>
    </cacheField>
    <cacheField name="[index].[Day Name].[Day Name]" caption="Day Name" numFmtId="0" hierarchy="1" level="1">
      <sharedItems containsSemiMixedTypes="0" containsNonDate="0" containsString="0"/>
    </cacheField>
  </cacheFields>
  <cacheHierarchies count="14">
    <cacheHierarchy uniqueName="[index].[date]" caption="date" attribute="1" time="1" defaultMemberUniqueName="[index].[date].[All]" allUniqueName="[index].[date].[All]" dimensionUniqueName="[index]" displayFolder="" count="0" memberValueDatatype="7" unbalanced="0"/>
    <cacheHierarchy uniqueName="[index].[Day Name]" caption="Day Name" attribute="1" defaultMemberUniqueName="[index].[Day Name].[All]" allUniqueName="[index].[Day Name].[All]" dimensionUniqueName="[index]" displayFolder="" count="2" memberValueDatatype="130" unbalanced="0">
      <fieldsUsage count="2">
        <fieldUsage x="-1"/>
        <fieldUsage x="2"/>
      </fieldsUsage>
    </cacheHierarchy>
    <cacheHierarchy uniqueName="[index].[datetime]" caption="datetime" attribute="1" time="1" defaultMemberUniqueName="[index].[datetime].[All]" allUniqueName="[index].[datetime].[All]" dimensionUniqueName="[index]" displayFolder="" count="0" memberValueDatatype="7" unbalanced="0"/>
    <cacheHierarchy uniqueName="[index].[Shifts]" caption="Shifts" attribute="1" defaultMemberUniqueName="[index].[Shifts].[All]" allUniqueName="[index].[Shifts].[All]" dimensionUniqueName="[index]" displayFolder="" count="0" memberValueDatatype="130" unbalanced="0"/>
    <cacheHierarchy uniqueName="[index].[cash_type]" caption="cash_type" attribute="1" defaultMemberUniqueName="[index].[cash_type].[All]" allUniqueName="[index].[cash_type].[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0" memberValueDatatype="130" unbalanced="0"/>
    <cacheHierarchy uniqueName="[index].[date (Month)]" caption="date (Month)" attribute="1" defaultMemberUniqueName="[index].[date (Month)].[All]" allUniqueName="[index].[date (Month)].[All]" dimensionUniqueName="[index]" displayFolder="" count="2" memberValueDatatype="130" unbalanced="0">
      <fieldsUsage count="2">
        <fieldUsage x="-1"/>
        <fieldUsage x="1"/>
      </fieldsUsage>
    </cacheHierarchy>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_ELTMSAH" refreshedDate="45943.83509375" backgroundQuery="1" createdVersion="8" refreshedVersion="8" minRefreshableVersion="3" recordCount="0" supportSubquery="1" supportAdvancedDrill="1" xr:uid="{B495806C-A550-415B-9E92-600E8F236B85}">
  <cacheSource type="external" connectionId="2"/>
  <cacheFields count="2">
    <cacheField name="[Measures].[Orders]" caption="Orders" numFmtId="0" hierarchy="10" level="32767"/>
    <cacheField name="[index].[Day Name].[Day Name]" caption="Day Name" numFmtId="0" hierarchy="1" level="1">
      <sharedItems count="7">
        <s v="Friday"/>
        <s v="Monday"/>
        <s v="Saturday"/>
        <s v="Sunday"/>
        <s v="Thursday"/>
        <s v="Tuesday"/>
        <s v="Wednesday"/>
      </sharedItems>
    </cacheField>
  </cacheFields>
  <cacheHierarchies count="14">
    <cacheHierarchy uniqueName="[index].[date]" caption="date" attribute="1" time="1" defaultMemberUniqueName="[index].[date].[All]" allUniqueName="[index].[date].[All]" dimensionUniqueName="[index]" displayFolder="" count="0" memberValueDatatype="7" unbalanced="0"/>
    <cacheHierarchy uniqueName="[index].[Day Name]" caption="Day Name" attribute="1" defaultMemberUniqueName="[index].[Day Name].[All]" allUniqueName="[index].[Day Name].[All]" dimensionUniqueName="[index]" displayFolder="" count="2" memberValueDatatype="130" unbalanced="0">
      <fieldsUsage count="2">
        <fieldUsage x="-1"/>
        <fieldUsage x="1"/>
      </fieldsUsage>
    </cacheHierarchy>
    <cacheHierarchy uniqueName="[index].[datetime]" caption="datetime" attribute="1" time="1" defaultMemberUniqueName="[index].[datetime].[All]" allUniqueName="[index].[datetime].[All]" dimensionUniqueName="[index]" displayFolder="" count="0" memberValueDatatype="7" unbalanced="0"/>
    <cacheHierarchy uniqueName="[index].[Shifts]" caption="Shifts" attribute="1" defaultMemberUniqueName="[index].[Shifts].[All]" allUniqueName="[index].[Shifts].[All]" dimensionUniqueName="[index]" displayFolder="" count="0" memberValueDatatype="130" unbalanced="0"/>
    <cacheHierarchy uniqueName="[index].[cash_type]" caption="cash_type" attribute="1" defaultMemberUniqueName="[index].[cash_type].[All]" allUniqueName="[index].[cash_type].[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0" memberValueDatatype="130" unbalanced="0"/>
    <cacheHierarchy uniqueName="[index].[date (Month)]" caption="date (Month)" attribute="1" defaultMemberUniqueName="[index].[date (Month)].[All]" allUniqueName="[index].[date (Month)].[All]" dimensionUniqueName="[index]" displayFolder="" count="0" memberValueDatatype="130" unbalanced="0"/>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_ELTMSAH" refreshedDate="45943.835094097223" backgroundQuery="1" createdVersion="8" refreshedVersion="8" minRefreshableVersion="3" recordCount="0" supportSubquery="1" supportAdvancedDrill="1" xr:uid="{0D0DF5F3-9431-4DA0-B37E-0FEA24DFEB7F}">
  <cacheSource type="external" connectionId="2"/>
  <cacheFields count="3">
    <cacheField name="[Measures].[Orders]" caption="Orders" numFmtId="0" hierarchy="10" level="32767"/>
    <cacheField name="[index].[cash_type].[cash_type]" caption="cash_type" numFmtId="0" hierarchy="4" level="1">
      <sharedItems count="2">
        <s v="Card"/>
        <s v="Cash"/>
      </sharedItems>
    </cacheField>
    <cacheField name="[index].[Day Name].[Day Name]" caption="Day Name" numFmtId="0" hierarchy="1" level="1">
      <sharedItems containsSemiMixedTypes="0" containsNonDate="0" containsString="0"/>
    </cacheField>
  </cacheFields>
  <cacheHierarchies count="14">
    <cacheHierarchy uniqueName="[index].[date]" caption="date" attribute="1" time="1" defaultMemberUniqueName="[index].[date].[All]" allUniqueName="[index].[date].[All]" dimensionUniqueName="[index]" displayFolder="" count="0" memberValueDatatype="7" unbalanced="0"/>
    <cacheHierarchy uniqueName="[index].[Day Name]" caption="Day Name" attribute="1" defaultMemberUniqueName="[index].[Day Name].[All]" allUniqueName="[index].[Day Name].[All]" dimensionUniqueName="[index]" displayFolder="" count="2" memberValueDatatype="130" unbalanced="0">
      <fieldsUsage count="2">
        <fieldUsage x="-1"/>
        <fieldUsage x="2"/>
      </fieldsUsage>
    </cacheHierarchy>
    <cacheHierarchy uniqueName="[index].[datetime]" caption="datetime" attribute="1" time="1" defaultMemberUniqueName="[index].[datetime].[All]" allUniqueName="[index].[datetime].[All]" dimensionUniqueName="[index]" displayFolder="" count="0" memberValueDatatype="7" unbalanced="0"/>
    <cacheHierarchy uniqueName="[index].[Shifts]" caption="Shifts" attribute="1" defaultMemberUniqueName="[index].[Shifts].[All]" allUniqueName="[index].[Shifts].[All]" dimensionUniqueName="[index]" displayFolder="" count="0" memberValueDatatype="130" unbalanced="0"/>
    <cacheHierarchy uniqueName="[index].[cash_type]" caption="cash_type" attribute="1" defaultMemberUniqueName="[index].[cash_type].[All]" allUniqueName="[index].[cash_type].[All]" dimensionUniqueName="[index]" displayFolder="" count="2" memberValueDatatype="130" unbalanced="0">
      <fieldsUsage count="2">
        <fieldUsage x="-1"/>
        <fieldUsage x="1"/>
      </fieldsUsage>
    </cacheHierarchy>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0" memberValueDatatype="130" unbalanced="0"/>
    <cacheHierarchy uniqueName="[index].[date (Month)]" caption="date (Month)" attribute="1" defaultMemberUniqueName="[index].[date (Month)].[All]" allUniqueName="[index].[date (Month)].[All]" dimensionUniqueName="[index]" displayFolder="" count="0" memberValueDatatype="130" unbalanced="0"/>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_ELTMSAH" refreshedDate="45943.828977199075" backgroundQuery="1" createdVersion="3" refreshedVersion="8" minRefreshableVersion="3" recordCount="0" supportSubquery="1" supportAdvancedDrill="1" xr:uid="{D7E05674-224B-4C5C-BD21-4C898A8C7FD1}">
  <cacheSource type="external" connectionId="2">
    <extLst>
      <ext xmlns:x14="http://schemas.microsoft.com/office/spreadsheetml/2009/9/main" uri="{F057638F-6D5F-4e77-A914-E7F072B9BCA8}">
        <x14:sourceConnection name="ThisWorkbookDataModel"/>
      </ext>
    </extLst>
  </cacheSource>
  <cacheFields count="0"/>
  <cacheHierarchies count="15">
    <cacheHierarchy uniqueName="[index].[date]" caption="date" attribute="1" time="1" defaultMemberUniqueName="[index].[date].[All]" allUniqueName="[index].[date].[All]" dimensionUniqueName="[index]" displayFolder="" count="2" memberValueDatatype="7" unbalanced="0"/>
    <cacheHierarchy uniqueName="[index].[Day Name]" caption="Day Name" attribute="1" defaultMemberUniqueName="[index].[Day Name].[All]" allUniqueName="[index].[Day Name].[All]" dimensionUniqueName="[index]" displayFolder="" count="2" memberValueDatatype="130" unbalanced="0"/>
    <cacheHierarchy uniqueName="[index].[datetime]" caption="datetime" attribute="1" time="1" defaultMemberUniqueName="[index].[datetime].[All]" allUniqueName="[index].[datetime].[All]" dimensionUniqueName="[index]" displayFolder="" count="2" memberValueDatatype="7" unbalanced="0"/>
    <cacheHierarchy uniqueName="[index].[Shifts]" caption="Shifts" attribute="1" defaultMemberUniqueName="[index].[Shifts].[All]" allUniqueName="[index].[Shifts].[All]" dimensionUniqueName="[index]" displayFolder="" count="2" memberValueDatatype="130" unbalanced="0"/>
    <cacheHierarchy uniqueName="[index].[cash_type]" caption="cash_type" attribute="1" defaultMemberUniqueName="[index].[cash_type].[All]" allUniqueName="[index].[cash_type].[All]" dimensionUniqueName="[index]" displayFolder="" count="2" memberValueDatatype="130" unbalanced="0"/>
    <cacheHierarchy uniqueName="[index].[money]" caption="money" attribute="1" defaultMemberUniqueName="[index].[money].[All]" allUniqueName="[index].[money].[All]" dimensionUniqueName="[index]" displayFolder="" count="2" memberValueDatatype="5" unbalanced="0"/>
    <cacheHierarchy uniqueName="[index].[coffee_name]" caption="coffee_name" attribute="1" defaultMemberUniqueName="[index].[coffee_name].[All]" allUniqueName="[index].[coffee_name].[All]" dimensionUniqueName="[index]" displayFolder="" count="2" memberValueDatatype="130" unbalanced="0"/>
    <cacheHierarchy uniqueName="[index].[date (Month)]" caption="date (Month)" attribute="1" defaultMemberUniqueName="[index].[date (Month)].[All]" allUniqueName="[index].[date (Month)].[All]" dimensionUniqueName="[index]"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index].[date (Month Index)]" caption="date (Month Index)" attribute="1" defaultMemberUniqueName="[index].[date (Month Index)].[All]" allUniqueName="[index].[date (Month Index)].[All]" dimensionUniqueName="[index]" displayFolder="" count="2" memberValueDatatype="20" unbalanced="0" hidden="1"/>
    <cacheHierarchy uniqueName="[Measures].[Total Sales]" caption="Total Sales" measure="1" displayFolder="" measureGroup="index" count="0"/>
    <cacheHierarchy uniqueName="[Measures].[Orders]" caption="Orders" measure="1" displayFolder="" measureGroup="index" count="0"/>
    <cacheHierarchy uniqueName="[Measures].[items]" caption="items"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licerData="1" pivotCacheId="9864720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734517-09AE-438D-8046-97BF51E00930}" name="PivotTable5" cacheId="4" applyNumberFormats="0" applyBorderFormats="0" applyFontFormats="0" applyPatternFormats="0" applyAlignmentFormats="0" applyWidthHeightFormats="1" dataCaption="Values" tag="d3635062-967e-41fa-bdbe-d429d8d754b8" updatedVersion="8" minRefreshableVersion="3" useAutoFormatting="1" itemPrintTitles="1" createdVersion="8" indent="0" outline="1" outlineData="1" multipleFieldFilters="0" chartFormat="6">
  <location ref="A15:B24" firstHeaderRow="1" firstDataRow="1" firstDataCol="1"/>
  <pivotFields count="3">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1"/>
    </i>
    <i>
      <x v="7"/>
    </i>
    <i>
      <x v="2"/>
    </i>
    <i>
      <x/>
    </i>
    <i>
      <x v="4"/>
    </i>
    <i>
      <x v="6"/>
    </i>
    <i>
      <x v="5"/>
    </i>
    <i>
      <x v="3"/>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E83103-E744-441D-AAF1-534CCCF6D863}" name="PivotTable4" cacheId="3" applyNumberFormats="0" applyBorderFormats="0" applyFontFormats="0" applyPatternFormats="0" applyAlignmentFormats="0" applyWidthHeightFormats="1" dataCaption="Values" tag="5072bd1d-e7ad-446b-abf8-341a1bc50ab3" updatedVersion="8" minRefreshableVersion="3" useAutoFormatting="1" itemPrintTitles="1" createdVersion="8"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7DB568-41E8-44A1-8BCF-A613719C177A}" name="PivotTable10" cacheId="1" applyNumberFormats="0" applyBorderFormats="0" applyFontFormats="0" applyPatternFormats="0" applyAlignmentFormats="0" applyWidthHeightFormats="1" dataCaption="Values" tag="6ded0aef-779e-40d1-815f-17b44294de3c" updatedVersion="8" minRefreshableVersion="3" useAutoFormatting="1" itemPrintTitles="1" createdVersion="8" indent="0" outline="1" outlineData="1" multipleFieldFilters="0" chartFormat="6">
  <location ref="M2:N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62E9A7-7057-426F-952A-16982EECE21D}" name="PivotTable9" cacheId="7" applyNumberFormats="0" applyBorderFormats="0" applyFontFormats="0" applyPatternFormats="0" applyAlignmentFormats="0" applyWidthHeightFormats="1" dataCaption="Values" tag="5b21b9c6-db42-4897-8204-44f61400d9ee" updatedVersion="8" minRefreshableVersion="3" useAutoFormatting="1" itemPrintTitles="1" createdVersion="8" indent="0" outline="1" outlineData="1" multipleFieldFilters="0" chartFormat="6">
  <location ref="E15:F18"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showDataAs="percentOfTotal" baseField="0" baseItem="0" numFmtId="16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s>
  <pivotHierarchies count="1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13C5F4-1773-4E22-8AFE-3BCA78EADB38}" name="PivotTable2" cacheId="2" applyNumberFormats="0" applyBorderFormats="0" applyFontFormats="0" applyPatternFormats="0" applyAlignmentFormats="0" applyWidthHeightFormats="1" dataCaption="Values" tag="633e73aa-28eb-443a-8c23-6a5b8f89d561" updatedVersion="8" minRefreshableVersion="3" useAutoFormatting="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DE4367-9DCB-489B-A08C-E9A8F415DD7D}" name="PivotTable8" cacheId="6" applyNumberFormats="0" applyBorderFormats="0" applyFontFormats="0" applyPatternFormats="0" applyAlignmentFormats="0" applyWidthHeightFormats="1" dataCaption="Values" tag="07d444bf-47b0-467c-9db3-94381bfe6eb3" updatedVersion="8" minRefreshableVersion="3" useAutoFormatting="1" itemPrintTitles="1" createdVersion="8" indent="0" outline="1" outlineData="1" multipleFieldFilters="0">
  <location ref="M23:N31"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fld="0" subtotal="count" baseField="0" baseItem="0"/>
  </dataFields>
  <pivotHierarchies count="1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1A8D7C-FEC3-461A-8194-E2769F9EF9C1}" name="PivotTable1" cacheId="0" applyNumberFormats="0" applyBorderFormats="0" applyFontFormats="0" applyPatternFormats="0" applyAlignmentFormats="0" applyWidthHeightFormats="1" dataCaption="Values" tag="f4d13d54-3ff4-45b6-b138-74e0fb019492" updatedVersion="8" minRefreshableVersion="3" useAutoFormatting="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D5F782-4640-438D-8787-9602037992FB}" name="PivotTable6" cacheId="5" applyNumberFormats="0" applyBorderFormats="0" applyFontFormats="0" applyPatternFormats="0" applyAlignmentFormats="0" applyWidthHeightFormats="1" dataCaption="Values" tag="c8768b10-8511-4427-a9f1-945c9f5d50af" updatedVersion="8" minRefreshableVersion="3" useAutoFormatting="1" itemPrintTitles="1" createdVersion="8" indent="0" outline="1" outlineData="1" multipleFieldFilters="0" chartFormat="5">
  <location ref="E2:F9"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64BD94AC-77A4-413C-AC9F-92AD8F644354}" sourceName="[index].[Day Name]">
  <pivotTables>
    <pivotTable tabId="1" name="PivotTable1"/>
    <pivotTable tabId="1" name="PivotTable10"/>
    <pivotTable tabId="1" name="PivotTable2"/>
    <pivotTable tabId="1" name="PivotTable4"/>
    <pivotTable tabId="1" name="PivotTable5"/>
    <pivotTable tabId="1" name="PivotTable6"/>
    <pivotTable tabId="1" name="PivotTable8"/>
    <pivotTable tabId="1" name="PivotTable9"/>
  </pivotTables>
  <data>
    <olap pivotCacheId="986472076">
      <levels count="2">
        <level uniqueName="[index].[Day Name].[(All)]" sourceCaption="(All)" count="0"/>
        <level uniqueName="[index].[Day Name].[Day Name]" sourceCaption="Day Name" count="7">
          <ranges>
            <range startItem="0">
              <i n="[index].[Day Name].&amp;[Friday]" c="Friday"/>
              <i n="[index].[Day Name].&amp;[Monday]" c="Monday"/>
              <i n="[index].[Day Name].&amp;[Saturday]" c="Saturday"/>
              <i n="[index].[Day Name].&amp;[Sunday]" c="Sunday"/>
              <i n="[index].[Day Name].&amp;[Thursday]" c="Thursday"/>
              <i n="[index].[Day Name].&amp;[Tuesday]" c="Tuesday"/>
              <i n="[index].[Day Name].&amp;[Wednesday]" c="Wednesday"/>
            </range>
          </ranges>
        </level>
      </levels>
      <selections count="1">
        <selection n="[index].[Da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6DA0976C-27B4-41DE-BF34-8AAF4D3054BF}" sourceName="[index].[coffee_name]">
  <data>
    <olap pivotCacheId="986472076">
      <levels count="2">
        <level uniqueName="[index].[coffee_name].[(All)]" sourceCaption="(All)" count="0"/>
        <level uniqueName="[index].[coffee_name].[coffee_name]" sourceCaption="coffee_name" count="8">
          <ranges>
            <range startItem="0">
              <i n="[index].[coffee_name].&amp;[Americano]" c="Americano"/>
              <i n="[index].[coffee_name].&amp;[Americano With Milk]" c="Americano With Milk"/>
              <i n="[index].[coffee_name].&amp;[Cappuccino]" c="Cappuccino"/>
              <i n="[index].[coffee_name].&amp;[Cocoa]" c="Cocoa"/>
              <i n="[index].[coffee_name].&amp;[Cortado]" c="Cortado"/>
              <i n="[index].[coffee_name].&amp;[Espresso]" c="Espresso"/>
              <i n="[index].[coffee_name].&amp;[Hot Chocolate]" c="Hot Chocolate"/>
              <i n="[index].[coffee_name].&amp;[Latte]" c="Latte"/>
            </range>
          </ranges>
        </level>
      </levels>
      <selections count="1">
        <selection n="[index].[coffee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18AEFEF7-073A-4595-A931-DA845BF9E1DF}" cache="Slicer_Day_Name" caption="Day Name" columnCount="3"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1" xr10:uid="{F86A47D6-A191-482B-AC2A-A14CB7B05DBC}" cache="Slicer_Day_Name" columnCount="3" level="1" style="SlicerStyleLight2" rowHeight="234950"/>
  <slicer name="coffee_name" xr10:uid="{C99648A0-D66B-4557-BED5-C44190C8CF05}" cache="Slicer_coffee_name" caption="coffee_name" columnCount="3" level="1"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1"/>
  <sheetViews>
    <sheetView showGridLines="0" showRowColHeaders="0" workbookViewId="0">
      <selection activeCell="L43" sqref="L43"/>
    </sheetView>
  </sheetViews>
  <sheetFormatPr defaultRowHeight="14.4" x14ac:dyDescent="0.3"/>
  <cols>
    <col min="1" max="1" width="18.21875" bestFit="1" customWidth="1"/>
    <col min="2" max="2" width="6.5546875" bestFit="1" customWidth="1"/>
    <col min="5" max="5" width="12.5546875" bestFit="1" customWidth="1"/>
    <col min="6" max="6" width="7" bestFit="1" customWidth="1"/>
    <col min="7" max="7" width="10.77734375" bestFit="1" customWidth="1"/>
    <col min="8" max="8" width="12.5546875" bestFit="1" customWidth="1"/>
    <col min="9" max="9" width="6.5546875" bestFit="1" customWidth="1"/>
    <col min="10" max="11" width="10.77734375" bestFit="1" customWidth="1"/>
    <col min="12" max="12" width="12.5546875" bestFit="1" customWidth="1"/>
    <col min="13" max="13" width="6.5546875" bestFit="1" customWidth="1"/>
    <col min="14" max="173" width="10.77734375" bestFit="1" customWidth="1"/>
  </cols>
  <sheetData>
    <row r="1" spans="1:23" x14ac:dyDescent="0.3">
      <c r="A1" t="s">
        <v>0</v>
      </c>
      <c r="E1" t="s">
        <v>18</v>
      </c>
      <c r="M1" t="s">
        <v>38</v>
      </c>
    </row>
    <row r="2" spans="1:23" x14ac:dyDescent="0.3">
      <c r="A2" t="s">
        <v>1</v>
      </c>
      <c r="E2" s="1" t="s">
        <v>16</v>
      </c>
      <c r="F2" t="s">
        <v>1</v>
      </c>
      <c r="M2" s="1" t="s">
        <v>16</v>
      </c>
      <c r="N2" t="s">
        <v>1</v>
      </c>
      <c r="W2" s="2"/>
    </row>
    <row r="3" spans="1:23" x14ac:dyDescent="0.3">
      <c r="A3">
        <v>1313</v>
      </c>
      <c r="E3" s="2" t="s">
        <v>19</v>
      </c>
      <c r="F3">
        <v>206</v>
      </c>
      <c r="M3" s="2" t="s">
        <v>35</v>
      </c>
      <c r="N3">
        <v>420</v>
      </c>
      <c r="W3" s="2"/>
    </row>
    <row r="4" spans="1:23" x14ac:dyDescent="0.3">
      <c r="E4" s="2" t="s">
        <v>20</v>
      </c>
      <c r="F4">
        <v>196</v>
      </c>
      <c r="M4" s="2" t="s">
        <v>36</v>
      </c>
      <c r="N4">
        <v>383</v>
      </c>
      <c r="W4" s="2"/>
    </row>
    <row r="5" spans="1:23" x14ac:dyDescent="0.3">
      <c r="A5" t="s">
        <v>2</v>
      </c>
      <c r="E5" s="2" t="s">
        <v>21</v>
      </c>
      <c r="F5">
        <v>267</v>
      </c>
      <c r="M5" s="2" t="s">
        <v>37</v>
      </c>
      <c r="N5">
        <v>510</v>
      </c>
      <c r="W5" s="2"/>
    </row>
    <row r="6" spans="1:23" x14ac:dyDescent="0.3">
      <c r="A6" t="s">
        <v>12</v>
      </c>
      <c r="E6" s="2" t="s">
        <v>22</v>
      </c>
      <c r="F6">
        <v>227</v>
      </c>
      <c r="M6" s="2" t="s">
        <v>17</v>
      </c>
      <c r="N6">
        <v>1313</v>
      </c>
      <c r="W6" s="2"/>
    </row>
    <row r="7" spans="1:23" x14ac:dyDescent="0.3">
      <c r="A7">
        <v>42627.58</v>
      </c>
      <c r="E7" s="2" t="s">
        <v>23</v>
      </c>
      <c r="F7">
        <v>237</v>
      </c>
      <c r="W7" s="2"/>
    </row>
    <row r="8" spans="1:23" x14ac:dyDescent="0.3">
      <c r="E8" s="2" t="s">
        <v>24</v>
      </c>
      <c r="F8">
        <v>180</v>
      </c>
      <c r="W8" s="2"/>
    </row>
    <row r="9" spans="1:23" x14ac:dyDescent="0.3">
      <c r="E9" s="2" t="s">
        <v>17</v>
      </c>
      <c r="F9">
        <v>1313</v>
      </c>
    </row>
    <row r="10" spans="1:23" x14ac:dyDescent="0.3">
      <c r="A10" t="s">
        <v>13</v>
      </c>
    </row>
    <row r="11" spans="1:23" x14ac:dyDescent="0.3">
      <c r="A11" t="s">
        <v>14</v>
      </c>
    </row>
    <row r="12" spans="1:23" x14ac:dyDescent="0.3">
      <c r="A12">
        <v>8</v>
      </c>
    </row>
    <row r="14" spans="1:23" x14ac:dyDescent="0.3">
      <c r="A14" t="s">
        <v>15</v>
      </c>
      <c r="E14" t="s">
        <v>33</v>
      </c>
    </row>
    <row r="15" spans="1:23" x14ac:dyDescent="0.3">
      <c r="A15" s="1" t="s">
        <v>16</v>
      </c>
      <c r="B15" t="s">
        <v>1</v>
      </c>
      <c r="E15" s="1" t="s">
        <v>16</v>
      </c>
      <c r="F15" t="s">
        <v>1</v>
      </c>
    </row>
    <row r="16" spans="1:23" x14ac:dyDescent="0.3">
      <c r="A16" s="2" t="s">
        <v>4</v>
      </c>
      <c r="B16">
        <v>319</v>
      </c>
      <c r="E16" s="2" t="s">
        <v>3</v>
      </c>
      <c r="F16" s="3">
        <v>0.9322162985529322</v>
      </c>
    </row>
    <row r="17" spans="1:14" x14ac:dyDescent="0.3">
      <c r="A17" s="2" t="s">
        <v>5</v>
      </c>
      <c r="B17">
        <v>282</v>
      </c>
      <c r="E17" s="2" t="s">
        <v>34</v>
      </c>
      <c r="F17" s="3">
        <v>6.7783701447067787E-2</v>
      </c>
    </row>
    <row r="18" spans="1:14" x14ac:dyDescent="0.3">
      <c r="A18" s="2" t="s">
        <v>6</v>
      </c>
      <c r="B18">
        <v>222</v>
      </c>
      <c r="E18" s="2" t="s">
        <v>17</v>
      </c>
      <c r="F18" s="3">
        <v>1</v>
      </c>
    </row>
    <row r="19" spans="1:14" x14ac:dyDescent="0.3">
      <c r="A19" s="2" t="s">
        <v>9</v>
      </c>
      <c r="B19">
        <v>185</v>
      </c>
    </row>
    <row r="20" spans="1:14" x14ac:dyDescent="0.3">
      <c r="A20" s="2" t="s">
        <v>10</v>
      </c>
      <c r="B20">
        <v>123</v>
      </c>
    </row>
    <row r="21" spans="1:14" x14ac:dyDescent="0.3">
      <c r="A21" s="2" t="s">
        <v>7</v>
      </c>
      <c r="B21">
        <v>79</v>
      </c>
    </row>
    <row r="22" spans="1:14" x14ac:dyDescent="0.3">
      <c r="A22" s="2" t="s">
        <v>11</v>
      </c>
      <c r="B22">
        <v>59</v>
      </c>
      <c r="M22" t="s">
        <v>32</v>
      </c>
    </row>
    <row r="23" spans="1:14" x14ac:dyDescent="0.3">
      <c r="A23" s="2" t="s">
        <v>8</v>
      </c>
      <c r="B23">
        <v>44</v>
      </c>
      <c r="M23" s="1" t="s">
        <v>16</v>
      </c>
      <c r="N23" t="s">
        <v>1</v>
      </c>
    </row>
    <row r="24" spans="1:14" x14ac:dyDescent="0.3">
      <c r="A24" s="2" t="s">
        <v>17</v>
      </c>
      <c r="B24">
        <v>1313</v>
      </c>
      <c r="M24" s="2" t="s">
        <v>25</v>
      </c>
      <c r="N24">
        <v>181</v>
      </c>
    </row>
    <row r="25" spans="1:14" x14ac:dyDescent="0.3">
      <c r="M25" s="2" t="s">
        <v>26</v>
      </c>
      <c r="N25">
        <v>177</v>
      </c>
    </row>
    <row r="26" spans="1:14" x14ac:dyDescent="0.3">
      <c r="M26" s="2" t="s">
        <v>27</v>
      </c>
      <c r="N26">
        <v>189</v>
      </c>
    </row>
    <row r="27" spans="1:14" x14ac:dyDescent="0.3">
      <c r="M27" s="2" t="s">
        <v>28</v>
      </c>
      <c r="N27">
        <v>172</v>
      </c>
    </row>
    <row r="28" spans="1:14" x14ac:dyDescent="0.3">
      <c r="M28" s="2" t="s">
        <v>29</v>
      </c>
      <c r="N28">
        <v>200</v>
      </c>
    </row>
    <row r="29" spans="1:14" x14ac:dyDescent="0.3">
      <c r="M29" s="2" t="s">
        <v>30</v>
      </c>
      <c r="N29">
        <v>206</v>
      </c>
    </row>
    <row r="30" spans="1:14" x14ac:dyDescent="0.3">
      <c r="M30" s="2" t="s">
        <v>31</v>
      </c>
      <c r="N30">
        <v>188</v>
      </c>
    </row>
    <row r="31" spans="1:14" x14ac:dyDescent="0.3">
      <c r="M31" s="2" t="s">
        <v>17</v>
      </c>
      <c r="N31">
        <v>1313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1636A-32E9-4119-ADF0-6C04371B137E}">
  <dimension ref="A3:AE55"/>
  <sheetViews>
    <sheetView showGridLines="0" showRowColHeaders="0" tabSelected="1" topLeftCell="A2" zoomScale="84" zoomScaleNormal="77" workbookViewId="0">
      <selection activeCell="A29" sqref="A29"/>
    </sheetView>
  </sheetViews>
  <sheetFormatPr defaultRowHeight="14.4" x14ac:dyDescent="0.3"/>
  <sheetData>
    <row r="3" spans="1:31"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row>
    <row r="4" spans="1:31"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row>
    <row r="5" spans="1:31"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row>
    <row r="6" spans="1:31"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row>
    <row r="7" spans="1:31"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row>
    <row r="8" spans="1:31"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row>
    <row r="9" spans="1:31"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row>
    <row r="10" spans="1:31"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row>
    <row r="11" spans="1:31"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row>
    <row r="12" spans="1:31"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row>
    <row r="13" spans="1:31"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row>
    <row r="14" spans="1:31"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row>
    <row r="15" spans="1:31"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row>
    <row r="16" spans="1:31"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row>
    <row r="17" spans="1:31"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row>
    <row r="18" spans="1:31"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row>
    <row r="19" spans="1:31"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row>
    <row r="20" spans="1:31"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row>
    <row r="21" spans="1:31"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row>
    <row r="22" spans="1:31"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row>
    <row r="23" spans="1:31"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row>
    <row r="24" spans="1:31"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row>
    <row r="25" spans="1:31"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row>
    <row r="26" spans="1:31"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row>
    <row r="27" spans="1:31"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row>
    <row r="28" spans="1:31"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row>
    <row r="29" spans="1:31"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row>
    <row r="30" spans="1:31"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row>
    <row r="31" spans="1:31"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row>
    <row r="32" spans="1:31"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row>
    <row r="33" spans="1:31"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row>
    <row r="34" spans="1:31"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row>
    <row r="35" spans="1:31"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row>
    <row r="36" spans="1:31"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row>
    <row r="37" spans="1:31"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row>
    <row r="38" spans="1:31"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row>
    <row r="39" spans="1:31"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row>
    <row r="40" spans="1:31"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row>
    <row r="41" spans="1:31"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row>
    <row r="42" spans="1:31"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row>
    <row r="43" spans="1:31"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row>
    <row r="44" spans="1:31"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row>
    <row r="45" spans="1:31"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row>
    <row r="46" spans="1:31"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row>
    <row r="47" spans="1:31"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row>
    <row r="48" spans="1:31"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row>
    <row r="49" spans="1:31"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row>
    <row r="50" spans="1:31"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row>
    <row r="51" spans="1:31"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row>
    <row r="52" spans="1:31"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row>
    <row r="53" spans="1:31"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row>
    <row r="54" spans="1:31"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row>
    <row r="55" spans="1:31" x14ac:dyDescent="0.3">
      <c r="Z55" s="4"/>
      <c r="AA55" s="4"/>
      <c r="AB55" s="4"/>
      <c r="AC55" s="4"/>
      <c r="AD55" s="4"/>
      <c r="AE55"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FF793A26-0A4B-46C3-9E5B-A6BAEBFA7070}">
  <ds:schemaRefs/>
</ds:datastoreItem>
</file>

<file path=customXml/itemProps2.xml><?xml version="1.0" encoding="utf-8"?>
<ds:datastoreItem xmlns:ds="http://schemas.openxmlformats.org/officeDocument/2006/customXml" ds:itemID="{1EB468BA-69B1-4B1B-9A2A-3C876F6D9FB6}">
  <ds:schemaRefs>
    <ds:schemaRef ds:uri="http://schemas.microsoft.com/DataMashup"/>
  </ds:schemaRefs>
</ds:datastoreItem>
</file>

<file path=customXml/itemProps3.xml><?xml version="1.0" encoding="utf-8"?>
<ds:datastoreItem xmlns:ds="http://schemas.openxmlformats.org/officeDocument/2006/customXml" ds:itemID="{E3AA0297-4D62-4812-9B61-C544C559D5D8}">
  <ds:schemaRefs/>
</ds:datastoreItem>
</file>

<file path=customXml/itemProps4.xml><?xml version="1.0" encoding="utf-8"?>
<ds:datastoreItem xmlns:ds="http://schemas.openxmlformats.org/officeDocument/2006/customXml" ds:itemID="{7B12672C-4850-482C-943F-FFF1F124021D}">
  <ds:schemaRefs/>
</ds:datastoreItem>
</file>

<file path=customXml/itemProps5.xml><?xml version="1.0" encoding="utf-8"?>
<ds:datastoreItem xmlns:ds="http://schemas.openxmlformats.org/officeDocument/2006/customXml" ds:itemID="{3536FD68-A0C2-40E9-AB13-110C542F72C3}">
  <ds:schemaRefs/>
</ds:datastoreItem>
</file>

<file path=customXml/itemProps6.xml><?xml version="1.0" encoding="utf-8"?>
<ds:datastoreItem xmlns:ds="http://schemas.openxmlformats.org/officeDocument/2006/customXml" ds:itemID="{E162D075-EAD9-489F-918C-34AEDD3ACC25}">
  <ds:schemaRefs/>
</ds:datastoreItem>
</file>

<file path=customXml/itemProps7.xml><?xml version="1.0" encoding="utf-8"?>
<ds:datastoreItem xmlns:ds="http://schemas.openxmlformats.org/officeDocument/2006/customXml" ds:itemID="{1ABF322A-A070-4B9F-AACC-60A50554AC87}">
  <ds:schemaRefs/>
</ds:datastoreItem>
</file>

<file path=customXml/itemProps8.xml><?xml version="1.0" encoding="utf-8"?>
<ds:datastoreItem xmlns:ds="http://schemas.openxmlformats.org/officeDocument/2006/customXml" ds:itemID="{08770093-FEF0-497F-9840-A15D57D16BC2}">
  <ds:schemaRefs/>
</ds:datastoreItem>
</file>

<file path=customXml/itemProps9.xml><?xml version="1.0" encoding="utf-8"?>
<ds:datastoreItem xmlns:ds="http://schemas.openxmlformats.org/officeDocument/2006/customXml" ds:itemID="{A8FE74D8-D115-48C1-AE5E-E165A97FB541}">
  <ds:schemaRefs/>
</ds:datastoreItem>
</file>

<file path=customXml/itemProps10.xml><?xml version="1.0" encoding="utf-8"?>
<ds:datastoreItem xmlns:ds="http://schemas.openxmlformats.org/officeDocument/2006/customXml" ds:itemID="{2D20D39E-668A-43DC-9E9B-A685BA5F53AB}">
  <ds:schemaRefs/>
</ds:datastoreItem>
</file>

<file path=customXml/itemProps11.xml><?xml version="1.0" encoding="utf-8"?>
<ds:datastoreItem xmlns:ds="http://schemas.openxmlformats.org/officeDocument/2006/customXml" ds:itemID="{0E4657C7-B166-4DD5-9AD5-BC291D8419D7}">
  <ds:schemaRefs/>
</ds:datastoreItem>
</file>

<file path=customXml/itemProps12.xml><?xml version="1.0" encoding="utf-8"?>
<ds:datastoreItem xmlns:ds="http://schemas.openxmlformats.org/officeDocument/2006/customXml" ds:itemID="{2D7BF10E-E3D3-4966-BC1E-DBF543F883F8}">
  <ds:schemaRefs/>
</ds:datastoreItem>
</file>

<file path=customXml/itemProps13.xml><?xml version="1.0" encoding="utf-8"?>
<ds:datastoreItem xmlns:ds="http://schemas.openxmlformats.org/officeDocument/2006/customXml" ds:itemID="{99161173-C713-419D-BD02-A99D0BFBA192}">
  <ds:schemaRefs/>
</ds:datastoreItem>
</file>

<file path=customXml/itemProps14.xml><?xml version="1.0" encoding="utf-8"?>
<ds:datastoreItem xmlns:ds="http://schemas.openxmlformats.org/officeDocument/2006/customXml" ds:itemID="{9873C697-F1CB-4B76-A330-96644FBBBA2C}">
  <ds:schemaRefs/>
</ds:datastoreItem>
</file>

<file path=customXml/itemProps15.xml><?xml version="1.0" encoding="utf-8"?>
<ds:datastoreItem xmlns:ds="http://schemas.openxmlformats.org/officeDocument/2006/customXml" ds:itemID="{058065E7-4897-4C51-ACB0-73C98D1EBBD5}">
  <ds:schemaRefs/>
</ds:datastoreItem>
</file>

<file path=customXml/itemProps16.xml><?xml version="1.0" encoding="utf-8"?>
<ds:datastoreItem xmlns:ds="http://schemas.openxmlformats.org/officeDocument/2006/customXml" ds:itemID="{A9019BF2-A526-40E6-8968-6DD4AB44C3CD}">
  <ds:schemaRefs/>
</ds:datastoreItem>
</file>

<file path=customXml/itemProps17.xml><?xml version="1.0" encoding="utf-8"?>
<ds:datastoreItem xmlns:ds="http://schemas.openxmlformats.org/officeDocument/2006/customXml" ds:itemID="{53D5E877-AB14-4F4E-9A0A-000AC1D59143}">
  <ds:schemaRefs/>
</ds:datastoreItem>
</file>

<file path=customXml/itemProps18.xml><?xml version="1.0" encoding="utf-8"?>
<ds:datastoreItem xmlns:ds="http://schemas.openxmlformats.org/officeDocument/2006/customXml" ds:itemID="{F02BB37B-30F7-4D43-9E6E-C3C3BC089BA9}">
  <ds:schemaRefs/>
</ds:datastoreItem>
</file>

<file path=customXml/itemProps19.xml><?xml version="1.0" encoding="utf-8"?>
<ds:datastoreItem xmlns:ds="http://schemas.openxmlformats.org/officeDocument/2006/customXml" ds:itemID="{FC1ECBA9-4D96-4AA6-AB03-94D2118794D3}">
  <ds:schemaRefs/>
</ds:datastoreItem>
</file>

<file path=customXml/itemProps20.xml><?xml version="1.0" encoding="utf-8"?>
<ds:datastoreItem xmlns:ds="http://schemas.openxmlformats.org/officeDocument/2006/customXml" ds:itemID="{D8FA0CCA-00B6-4E94-8830-28CF360DBB03}">
  <ds:schemaRefs/>
</ds:datastoreItem>
</file>

<file path=customXml/itemProps21.xml><?xml version="1.0" encoding="utf-8"?>
<ds:datastoreItem xmlns:ds="http://schemas.openxmlformats.org/officeDocument/2006/customXml" ds:itemID="{ACB7A5E8-5AA9-4A70-9115-11E577617B6D}">
  <ds:schemaRefs/>
</ds:datastoreItem>
</file>

<file path=customXml/itemProps22.xml><?xml version="1.0" encoding="utf-8"?>
<ds:datastoreItem xmlns:ds="http://schemas.openxmlformats.org/officeDocument/2006/customXml" ds:itemID="{DFD203E3-9D06-40FF-8216-C32F3128FF48}">
  <ds:schemaRefs/>
</ds:datastoreItem>
</file>

<file path=customXml/itemProps23.xml><?xml version="1.0" encoding="utf-8"?>
<ds:datastoreItem xmlns:ds="http://schemas.openxmlformats.org/officeDocument/2006/customXml" ds:itemID="{C0FE46D5-2C57-493F-8451-62573506A435}">
  <ds:schemaRefs/>
</ds:datastoreItem>
</file>

<file path=customXml/itemProps24.xml><?xml version="1.0" encoding="utf-8"?>
<ds:datastoreItem xmlns:ds="http://schemas.openxmlformats.org/officeDocument/2006/customXml" ds:itemID="{2DDCB12E-B215-486A-B710-07F831C16987}">
  <ds:schemaRefs/>
</ds:datastoreItem>
</file>

<file path=customXml/itemProps25.xml><?xml version="1.0" encoding="utf-8"?>
<ds:datastoreItem xmlns:ds="http://schemas.openxmlformats.org/officeDocument/2006/customXml" ds:itemID="{1419E3EB-EAE1-4F9C-8E28-3C1A518E40EF}">
  <ds:schemaRefs/>
</ds:datastoreItem>
</file>

<file path=customXml/itemProps26.xml><?xml version="1.0" encoding="utf-8"?>
<ds:datastoreItem xmlns:ds="http://schemas.openxmlformats.org/officeDocument/2006/customXml" ds:itemID="{8532256C-70FD-4D48-A62B-2476679D38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ENG_ELTMSAH</dc:creator>
  <cp:lastModifiedBy>محمد ابراهيم محمد ابراهيم التمساح</cp:lastModifiedBy>
  <dcterms:created xsi:type="dcterms:W3CDTF">2015-06-05T18:17:20Z</dcterms:created>
  <dcterms:modified xsi:type="dcterms:W3CDTF">2025-10-18T04:49:05Z</dcterms:modified>
</cp:coreProperties>
</file>